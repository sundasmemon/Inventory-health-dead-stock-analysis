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Sundas Memon\Desktop\"/>
    </mc:Choice>
  </mc:AlternateContent>
  <xr:revisionPtr revIDLastSave="0" documentId="8_{D4A1D9C3-CCAB-4FD8-BB0E-4167317076D0}" xr6:coauthVersionLast="47" xr6:coauthVersionMax="47" xr10:uidLastSave="{00000000-0000-0000-0000-000000000000}"/>
  <bookViews>
    <workbookView xWindow="-108" yWindow="-108" windowWidth="23256" windowHeight="12456" firstSheet="4" activeTab="7" xr2:uid="{C9B545EF-EDF1-4338-AC32-859F58E2945B}"/>
  </bookViews>
  <sheets>
    <sheet name="DeadStockInventory" sheetId="1" r:id="rId1"/>
    <sheet name="RAW_DATA" sheetId="2" r:id="rId2"/>
    <sheet name="CLEANED" sheetId="3" r:id="rId3"/>
    <sheet name="ANALYSIS" sheetId="4" r:id="rId4"/>
    <sheet name="PT1_Category" sheetId="7" r:id="rId5"/>
    <sheet name="PT2_AgingBucket" sheetId="8" r:id="rId6"/>
    <sheet name=" PT3_TopDeadStock" sheetId="9" r:id="rId7"/>
    <sheet name="DASHBOARD" sheetId="5" r:id="rId8"/>
    <sheet name="CLEANING_LOG" sheetId="6" r:id="rId9"/>
    <sheet name="CHART_DATA" sheetId="10" state="hidden" r:id="rId10"/>
  </sheets>
  <definedNames>
    <definedName name="_xlnm._FilterDatabase" localSheetId="3" hidden="1">ANALYSIS!$A$3:$O$78</definedName>
    <definedName name="_xlnm._FilterDatabase" localSheetId="2" hidden="1">CLEANED!$C$1:$C$152</definedName>
    <definedName name="_xlnm._FilterDatabase" localSheetId="1" hidden="1">RAW_DATA!$A$1:$O$16</definedName>
  </definedName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4" i="5" l="1"/>
  <c r="F4" i="5"/>
  <c r="F7" i="10"/>
  <c r="F6" i="10"/>
  <c r="D4" i="4"/>
  <c r="H5" i="4"/>
  <c r="I5" i="4" s="1"/>
  <c r="H6" i="4"/>
  <c r="H7" i="4"/>
  <c r="H8" i="4"/>
  <c r="H9" i="4"/>
  <c r="H10" i="4"/>
  <c r="H11" i="4"/>
  <c r="H12" i="4"/>
  <c r="H13" i="4"/>
  <c r="H14" i="4"/>
  <c r="H15" i="4"/>
  <c r="I15" i="4" s="1"/>
  <c r="H16" i="4"/>
  <c r="H17" i="4"/>
  <c r="H18" i="4"/>
  <c r="H19" i="4"/>
  <c r="H20" i="4"/>
  <c r="H21" i="4"/>
  <c r="I21" i="4" s="1"/>
  <c r="H22" i="4"/>
  <c r="H23" i="4"/>
  <c r="I23" i="4" s="1"/>
  <c r="H24" i="4"/>
  <c r="H25" i="4"/>
  <c r="H26" i="4"/>
  <c r="H27" i="4"/>
  <c r="H28" i="4"/>
  <c r="H29" i="4"/>
  <c r="H30" i="4"/>
  <c r="H31" i="4"/>
  <c r="I31" i="4" s="1"/>
  <c r="H32" i="4"/>
  <c r="H33" i="4"/>
  <c r="H34" i="4"/>
  <c r="H35" i="4"/>
  <c r="H36" i="4"/>
  <c r="H37" i="4"/>
  <c r="I37" i="4" s="1"/>
  <c r="H38" i="4"/>
  <c r="H39" i="4"/>
  <c r="I39" i="4" s="1"/>
  <c r="H40" i="4"/>
  <c r="H41" i="4"/>
  <c r="H42" i="4"/>
  <c r="H43" i="4"/>
  <c r="H44" i="4"/>
  <c r="H45" i="4"/>
  <c r="I45" i="4" s="1"/>
  <c r="H46" i="4"/>
  <c r="H47" i="4"/>
  <c r="I47" i="4" s="1"/>
  <c r="H48" i="4"/>
  <c r="H49" i="4"/>
  <c r="H50" i="4"/>
  <c r="H51" i="4"/>
  <c r="H52" i="4"/>
  <c r="H53" i="4"/>
  <c r="I53" i="4" s="1"/>
  <c r="H54" i="4"/>
  <c r="H55" i="4"/>
  <c r="H56" i="4"/>
  <c r="H57" i="4"/>
  <c r="H58" i="4"/>
  <c r="H59" i="4"/>
  <c r="H60" i="4"/>
  <c r="H61" i="4"/>
  <c r="I61" i="4" s="1"/>
  <c r="H62" i="4"/>
  <c r="H63" i="4"/>
  <c r="H64" i="4"/>
  <c r="H65" i="4"/>
  <c r="H66" i="4"/>
  <c r="H67" i="4"/>
  <c r="H68" i="4"/>
  <c r="H69" i="4"/>
  <c r="I69" i="4" s="1"/>
  <c r="H70" i="4"/>
  <c r="H71" i="4"/>
  <c r="I71" i="4" s="1"/>
  <c r="H72" i="4"/>
  <c r="H73" i="4"/>
  <c r="I73" i="4" s="1"/>
  <c r="H74" i="4"/>
  <c r="H75" i="4"/>
  <c r="H76" i="4"/>
  <c r="H77" i="4"/>
  <c r="I77" i="4" s="1"/>
  <c r="H78" i="4"/>
  <c r="H4" i="4"/>
  <c r="R1" i="4"/>
  <c r="I8" i="4" s="1"/>
  <c r="I29" i="4"/>
  <c r="I55" i="4"/>
  <c r="I63"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4" i="4"/>
  <c r="N5" i="4"/>
  <c r="K5" i="4" s="1"/>
  <c r="N6" i="4"/>
  <c r="L6" i="4" s="1"/>
  <c r="N7" i="4"/>
  <c r="N8" i="4"/>
  <c r="N9" i="4"/>
  <c r="N10" i="4"/>
  <c r="L10" i="4" s="1"/>
  <c r="N11" i="4"/>
  <c r="N12" i="4"/>
  <c r="J12" i="4" s="1"/>
  <c r="N13" i="4"/>
  <c r="K13" i="4" s="1"/>
  <c r="N14" i="4"/>
  <c r="N15" i="4"/>
  <c r="N16" i="4"/>
  <c r="N17" i="4"/>
  <c r="N18" i="4"/>
  <c r="K18" i="4" s="1"/>
  <c r="N19" i="4"/>
  <c r="N20" i="4"/>
  <c r="J20" i="4" s="1"/>
  <c r="N21" i="4"/>
  <c r="K21" i="4" s="1"/>
  <c r="N22" i="4"/>
  <c r="N23" i="4"/>
  <c r="N24" i="4"/>
  <c r="N25" i="4"/>
  <c r="N26" i="4"/>
  <c r="K26" i="4" s="1"/>
  <c r="N27" i="4"/>
  <c r="N28" i="4"/>
  <c r="J28" i="4" s="1"/>
  <c r="N29" i="4"/>
  <c r="K29" i="4" s="1"/>
  <c r="N30" i="4"/>
  <c r="N31" i="4"/>
  <c r="N32" i="4"/>
  <c r="N33" i="4"/>
  <c r="N34" i="4"/>
  <c r="K34" i="4" s="1"/>
  <c r="N35" i="4"/>
  <c r="N36" i="4"/>
  <c r="J36" i="4" s="1"/>
  <c r="N37" i="4"/>
  <c r="K37" i="4" s="1"/>
  <c r="N38" i="4"/>
  <c r="N39" i="4"/>
  <c r="N40" i="4"/>
  <c r="N41" i="4"/>
  <c r="N42" i="4"/>
  <c r="K42" i="4" s="1"/>
  <c r="N43" i="4"/>
  <c r="N44" i="4"/>
  <c r="J44" i="4" s="1"/>
  <c r="N45" i="4"/>
  <c r="L45" i="4" s="1"/>
  <c r="N46" i="4"/>
  <c r="N47" i="4"/>
  <c r="N48" i="4"/>
  <c r="N49" i="4"/>
  <c r="N50" i="4"/>
  <c r="K50" i="4" s="1"/>
  <c r="N51" i="4"/>
  <c r="N52" i="4"/>
  <c r="J52" i="4" s="1"/>
  <c r="N53" i="4"/>
  <c r="K53" i="4" s="1"/>
  <c r="N54" i="4"/>
  <c r="N55" i="4"/>
  <c r="N56" i="4"/>
  <c r="N57" i="4"/>
  <c r="N58" i="4"/>
  <c r="K58" i="4" s="1"/>
  <c r="N59" i="4"/>
  <c r="N60" i="4"/>
  <c r="J60" i="4" s="1"/>
  <c r="N61" i="4"/>
  <c r="K61" i="4" s="1"/>
  <c r="N62" i="4"/>
  <c r="N63" i="4"/>
  <c r="N64" i="4"/>
  <c r="N65" i="4"/>
  <c r="N66" i="4"/>
  <c r="L66" i="4" s="1"/>
  <c r="N67" i="4"/>
  <c r="N68" i="4"/>
  <c r="J68" i="4" s="1"/>
  <c r="N69" i="4"/>
  <c r="K69" i="4" s="1"/>
  <c r="N70" i="4"/>
  <c r="N71" i="4"/>
  <c r="N72" i="4"/>
  <c r="N73" i="4"/>
  <c r="N74" i="4"/>
  <c r="K74" i="4" s="1"/>
  <c r="N75" i="4"/>
  <c r="N76" i="4"/>
  <c r="J76" i="4" s="1"/>
  <c r="N77" i="4"/>
  <c r="K77" i="4" s="1"/>
  <c r="N78" i="4"/>
  <c r="N4" i="4"/>
  <c r="J4" i="4" s="1"/>
  <c r="M5" i="4"/>
  <c r="M6" i="4"/>
  <c r="M7" i="4"/>
  <c r="M8" i="4"/>
  <c r="M9" i="4"/>
  <c r="M10" i="4"/>
  <c r="M11" i="4"/>
  <c r="M12" i="4"/>
  <c r="M13" i="4"/>
  <c r="M14" i="4"/>
  <c r="I14" i="4" s="1"/>
  <c r="M15" i="4"/>
  <c r="M16" i="4"/>
  <c r="M17" i="4"/>
  <c r="M18" i="4"/>
  <c r="M19" i="4"/>
  <c r="M20" i="4"/>
  <c r="M21" i="4"/>
  <c r="M22" i="4"/>
  <c r="I22" i="4" s="1"/>
  <c r="M23" i="4"/>
  <c r="M24" i="4"/>
  <c r="M25" i="4"/>
  <c r="M26" i="4"/>
  <c r="M27" i="4"/>
  <c r="M28" i="4"/>
  <c r="M29" i="4"/>
  <c r="M30" i="4"/>
  <c r="I30" i="4" s="1"/>
  <c r="M31" i="4"/>
  <c r="M32" i="4"/>
  <c r="M33" i="4"/>
  <c r="M34" i="4"/>
  <c r="M35" i="4"/>
  <c r="M36" i="4"/>
  <c r="M37" i="4"/>
  <c r="M38" i="4"/>
  <c r="I38" i="4" s="1"/>
  <c r="M39" i="4"/>
  <c r="M40" i="4"/>
  <c r="M41" i="4"/>
  <c r="M42" i="4"/>
  <c r="M43" i="4"/>
  <c r="M44" i="4"/>
  <c r="M45" i="4"/>
  <c r="M46" i="4"/>
  <c r="I46" i="4" s="1"/>
  <c r="M47" i="4"/>
  <c r="M48" i="4"/>
  <c r="M49" i="4"/>
  <c r="M50" i="4"/>
  <c r="M51" i="4"/>
  <c r="M52" i="4"/>
  <c r="M53" i="4"/>
  <c r="M54" i="4"/>
  <c r="I54" i="4" s="1"/>
  <c r="M55" i="4"/>
  <c r="M56" i="4"/>
  <c r="M57" i="4"/>
  <c r="M58" i="4"/>
  <c r="M59" i="4"/>
  <c r="M60" i="4"/>
  <c r="M61" i="4"/>
  <c r="M62" i="4"/>
  <c r="I62" i="4" s="1"/>
  <c r="M63" i="4"/>
  <c r="M64" i="4"/>
  <c r="M65" i="4"/>
  <c r="M66" i="4"/>
  <c r="M67" i="4"/>
  <c r="M68" i="4"/>
  <c r="M69" i="4"/>
  <c r="M70" i="4"/>
  <c r="I70" i="4" s="1"/>
  <c r="M71" i="4"/>
  <c r="M72" i="4"/>
  <c r="M73" i="4"/>
  <c r="M74" i="4"/>
  <c r="M75" i="4"/>
  <c r="M76" i="4"/>
  <c r="M77" i="4"/>
  <c r="M78" i="4"/>
  <c r="I78" i="4" s="1"/>
  <c r="M4" i="4"/>
  <c r="L8" i="4"/>
  <c r="L19" i="4"/>
  <c r="L23" i="4"/>
  <c r="L24" i="4"/>
  <c r="L32" i="4"/>
  <c r="L64" i="4"/>
  <c r="L69" i="4"/>
  <c r="L72" i="4"/>
  <c r="L73" i="4"/>
  <c r="L4" i="4"/>
  <c r="K6" i="4"/>
  <c r="K7" i="4"/>
  <c r="K8" i="4"/>
  <c r="K9" i="4"/>
  <c r="K11" i="4"/>
  <c r="K12" i="4"/>
  <c r="K14" i="4"/>
  <c r="K15" i="4"/>
  <c r="K16" i="4"/>
  <c r="K17" i="4"/>
  <c r="K19" i="4"/>
  <c r="K20" i="4"/>
  <c r="K22" i="4"/>
  <c r="K23" i="4"/>
  <c r="K24" i="4"/>
  <c r="K25" i="4"/>
  <c r="K27" i="4"/>
  <c r="K28" i="4"/>
  <c r="K30" i="4"/>
  <c r="K31" i="4"/>
  <c r="K32" i="4"/>
  <c r="K33" i="4"/>
  <c r="K35" i="4"/>
  <c r="K36" i="4"/>
  <c r="K38" i="4"/>
  <c r="K39" i="4"/>
  <c r="K40" i="4"/>
  <c r="K41" i="4"/>
  <c r="K43" i="4"/>
  <c r="K44" i="4"/>
  <c r="K46" i="4"/>
  <c r="K47" i="4"/>
  <c r="K48" i="4"/>
  <c r="K49" i="4"/>
  <c r="K51" i="4"/>
  <c r="K52" i="4"/>
  <c r="K54" i="4"/>
  <c r="K55" i="4"/>
  <c r="K56" i="4"/>
  <c r="K57" i="4"/>
  <c r="K59" i="4"/>
  <c r="K60" i="4"/>
  <c r="K62" i="4"/>
  <c r="K63" i="4"/>
  <c r="K64" i="4"/>
  <c r="K65" i="4"/>
  <c r="K67" i="4"/>
  <c r="K68" i="4"/>
  <c r="K70" i="4"/>
  <c r="K71" i="4"/>
  <c r="K72" i="4"/>
  <c r="K73" i="4"/>
  <c r="K75" i="4"/>
  <c r="K76" i="4"/>
  <c r="K78" i="4"/>
  <c r="K4" i="4"/>
  <c r="J5" i="4"/>
  <c r="J6" i="4"/>
  <c r="J7" i="4"/>
  <c r="J8" i="4"/>
  <c r="J9" i="4"/>
  <c r="J11" i="4"/>
  <c r="J13" i="4"/>
  <c r="J14" i="4"/>
  <c r="J15" i="4"/>
  <c r="J16" i="4"/>
  <c r="J17" i="4"/>
  <c r="J19" i="4"/>
  <c r="J21" i="4"/>
  <c r="J22" i="4"/>
  <c r="J23" i="4"/>
  <c r="J24" i="4"/>
  <c r="J25" i="4"/>
  <c r="J27" i="4"/>
  <c r="J29" i="4"/>
  <c r="J30" i="4"/>
  <c r="J31" i="4"/>
  <c r="J32" i="4"/>
  <c r="J33" i="4"/>
  <c r="J35" i="4"/>
  <c r="J37" i="4"/>
  <c r="J38" i="4"/>
  <c r="J39" i="4"/>
  <c r="J40" i="4"/>
  <c r="J41" i="4"/>
  <c r="J43" i="4"/>
  <c r="J45" i="4"/>
  <c r="J46" i="4"/>
  <c r="J47" i="4"/>
  <c r="J48" i="4"/>
  <c r="J49" i="4"/>
  <c r="J51" i="4"/>
  <c r="J53" i="4"/>
  <c r="J54" i="4"/>
  <c r="J55" i="4"/>
  <c r="J56" i="4"/>
  <c r="J57" i="4"/>
  <c r="J59" i="4"/>
  <c r="J61" i="4"/>
  <c r="J62" i="4"/>
  <c r="J63" i="4"/>
  <c r="J64" i="4"/>
  <c r="J65" i="4"/>
  <c r="J67" i="4"/>
  <c r="J69" i="4"/>
  <c r="J70" i="4"/>
  <c r="J71" i="4"/>
  <c r="J72" i="4"/>
  <c r="J73" i="4"/>
  <c r="J75" i="4"/>
  <c r="J77" i="4"/>
  <c r="J78" i="4"/>
  <c r="G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5" i="4"/>
  <c r="C4" i="4"/>
  <c r="B4" i="4"/>
  <c r="A4" i="4"/>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2" i="3"/>
  <c r="I74" i="4" l="1"/>
  <c r="I66" i="4"/>
  <c r="I58" i="4"/>
  <c r="I50" i="4"/>
  <c r="I42" i="4"/>
  <c r="I34" i="4"/>
  <c r="I26" i="4"/>
  <c r="I18" i="4"/>
  <c r="I10" i="4"/>
  <c r="I7" i="4"/>
  <c r="L76" i="4"/>
  <c r="L52" i="4"/>
  <c r="L36" i="4"/>
  <c r="I20" i="4"/>
  <c r="I12" i="4"/>
  <c r="I75" i="4"/>
  <c r="I67" i="4"/>
  <c r="I59" i="4"/>
  <c r="I51" i="4"/>
  <c r="I43" i="4"/>
  <c r="I35" i="4"/>
  <c r="I27" i="4"/>
  <c r="I19" i="4"/>
  <c r="I11" i="4"/>
  <c r="I68" i="4"/>
  <c r="I60" i="4"/>
  <c r="I52" i="4"/>
  <c r="I44" i="4"/>
  <c r="I36" i="4"/>
  <c r="I28" i="4"/>
  <c r="I4" i="4"/>
  <c r="I65" i="4"/>
  <c r="I57" i="4"/>
  <c r="I49" i="4"/>
  <c r="I41" i="4"/>
  <c r="I33" i="4"/>
  <c r="I25" i="4"/>
  <c r="I17" i="4"/>
  <c r="I9" i="4"/>
  <c r="F4" i="10" s="1"/>
  <c r="I72" i="4"/>
  <c r="I64" i="4"/>
  <c r="I56" i="4"/>
  <c r="I48" i="4"/>
  <c r="I40" i="4"/>
  <c r="I32" i="4"/>
  <c r="I24" i="4"/>
  <c r="I16" i="4"/>
  <c r="I13" i="4"/>
  <c r="I6" i="4"/>
  <c r="J74" i="4"/>
  <c r="J66" i="4"/>
  <c r="J58" i="4"/>
  <c r="J50" i="4"/>
  <c r="J42" i="4"/>
  <c r="J34" i="4"/>
  <c r="J26" i="4"/>
  <c r="J18" i="4"/>
  <c r="J10" i="4"/>
  <c r="K45" i="4"/>
  <c r="L74" i="4"/>
  <c r="L28" i="4"/>
  <c r="K66" i="4"/>
  <c r="K10" i="4"/>
  <c r="L60" i="4"/>
  <c r="L44" i="4"/>
  <c r="L68" i="4"/>
  <c r="L5" i="4"/>
  <c r="L75" i="4"/>
  <c r="L67" i="4"/>
  <c r="L59" i="4"/>
  <c r="L11" i="4"/>
  <c r="L58" i="4"/>
  <c r="L50" i="4"/>
  <c r="L42" i="4"/>
  <c r="L34" i="4"/>
  <c r="L26" i="4"/>
  <c r="L18" i="4"/>
  <c r="L65" i="4"/>
  <c r="L57" i="4"/>
  <c r="L49" i="4"/>
  <c r="L41" i="4"/>
  <c r="L33" i="4"/>
  <c r="L25" i="4"/>
  <c r="L17" i="4"/>
  <c r="L9" i="4"/>
  <c r="L40" i="4"/>
  <c r="L16" i="4"/>
  <c r="L71" i="4"/>
  <c r="L63" i="4"/>
  <c r="L55" i="4"/>
  <c r="L47" i="4"/>
  <c r="L39" i="4"/>
  <c r="L31" i="4"/>
  <c r="L15" i="4"/>
  <c r="L7" i="4"/>
  <c r="L78" i="4"/>
  <c r="L70" i="4"/>
  <c r="L62" i="4"/>
  <c r="L54" i="4"/>
  <c r="L46" i="4"/>
  <c r="L38" i="4"/>
  <c r="L30" i="4"/>
  <c r="L22" i="4"/>
  <c r="L14" i="4"/>
  <c r="L77" i="4"/>
  <c r="L61" i="4"/>
  <c r="L53" i="4"/>
  <c r="L37" i="4"/>
  <c r="L29" i="4"/>
  <c r="L21" i="4"/>
  <c r="L13" i="4"/>
  <c r="A4" i="5" l="1"/>
  <c r="F5" i="10"/>
  <c r="B4" i="10"/>
  <c r="K4" i="5"/>
  <c r="L12" i="4"/>
  <c r="L56" i="4"/>
  <c r="L27" i="4"/>
  <c r="L35" i="4"/>
  <c r="L43" i="4"/>
  <c r="L20" i="4"/>
  <c r="I76" i="4"/>
  <c r="B6" i="10" s="1"/>
  <c r="L48" i="4"/>
  <c r="L51" i="4"/>
  <c r="B7" i="10" l="1"/>
  <c r="F3" i="10"/>
  <c r="B3" i="10"/>
  <c r="B5" i="10"/>
</calcChain>
</file>

<file path=xl/sharedStrings.xml><?xml version="1.0" encoding="utf-8"?>
<sst xmlns="http://schemas.openxmlformats.org/spreadsheetml/2006/main" count="1383" uniqueCount="285">
  <si>
    <t>SKU</t>
  </si>
  <si>
    <t>Product_Name</t>
  </si>
  <si>
    <t>Category</t>
  </si>
  <si>
    <t>Supplier</t>
  </si>
  <si>
    <t>Warehouse</t>
  </si>
  <si>
    <t>Quantity_On_Hand</t>
  </si>
  <si>
    <t>Cost_Price_PKR</t>
  </si>
  <si>
    <t>Selling_Price_PKR</t>
  </si>
  <si>
    <t>Last_Sale_Date</t>
  </si>
  <si>
    <t>Units_Sold_Last_90Days</t>
  </si>
  <si>
    <t>Avg_Daily_Sales</t>
  </si>
  <si>
    <t>Lead_Time_Days</t>
  </si>
  <si>
    <t>Safety_Stock_Units</t>
  </si>
  <si>
    <t>Reorder_Point</t>
  </si>
  <si>
    <t>Last_Restock_Date</t>
  </si>
  <si>
    <t>SKU-5035</t>
  </si>
  <si>
    <t>Electric Kettle 1.7L</t>
  </si>
  <si>
    <t>Home &amp; Kitchen</t>
  </si>
  <si>
    <t>FashionHub Karachi</t>
  </si>
  <si>
    <t>Lahore Distribution Hub</t>
  </si>
  <si>
    <t>SKU-5050</t>
  </si>
  <si>
    <t>Multivitamin 60 Tabs</t>
  </si>
  <si>
    <t>Health &amp; Beauty</t>
  </si>
  <si>
    <t>GammaSources Karachi</t>
  </si>
  <si>
    <t>Karachi North Depot</t>
  </si>
  <si>
    <t>SKU-5057</t>
  </si>
  <si>
    <t>Nail Kit Manicure</t>
  </si>
  <si>
    <t>TechWorld Pvt Ltd</t>
  </si>
  <si>
    <t>Islamabad Storage</t>
  </si>
  <si>
    <t>SKU-5070</t>
  </si>
  <si>
    <t>Tennis Ball Pack 3</t>
  </si>
  <si>
    <t>Sports &amp; Outdoor</t>
  </si>
  <si>
    <t>Karachi Central Warehouse</t>
  </si>
  <si>
    <t>SKU-5024</t>
  </si>
  <si>
    <t>Zip Hoodie</t>
  </si>
  <si>
    <t>Clothing</t>
  </si>
  <si>
    <t>MedPlus Distributors</t>
  </si>
  <si>
    <t>SKU-5025</t>
  </si>
  <si>
    <t>Socks 6-pack</t>
  </si>
  <si>
    <t>SportZone Pakistan</t>
  </si>
  <si>
    <t>SKU-5014</t>
  </si>
  <si>
    <t>Dash Cam</t>
  </si>
  <si>
    <t>Electronics</t>
  </si>
  <si>
    <t>SKU-5055</t>
  </si>
  <si>
    <t>Face Wash Neem</t>
  </si>
  <si>
    <t>HomeEssentials Co.</t>
  </si>
  <si>
    <t>SKU-5037</t>
  </si>
  <si>
    <t>Rice Cooker 1.8L</t>
  </si>
  <si>
    <t>SKU-5045</t>
  </si>
  <si>
    <t>Face Moisturizer SPF30</t>
  </si>
  <si>
    <t>SKU-5067</t>
  </si>
  <si>
    <t>Badminton Racket Set</t>
  </si>
  <si>
    <t>SKU-5004</t>
  </si>
  <si>
    <t>Power Bank 20000mAh</t>
  </si>
  <si>
    <t>SKU-5002</t>
  </si>
  <si>
    <t>USB-C Hub</t>
  </si>
  <si>
    <t>SKU-5059</t>
  </si>
  <si>
    <t>Collagen Supplement</t>
  </si>
  <si>
    <t>SKU-5030</t>
  </si>
  <si>
    <t>Pressure Cooker 5L</t>
  </si>
  <si>
    <t>AlphaSupplies Lahore</t>
  </si>
  <si>
    <t>SKU-5006</t>
  </si>
  <si>
    <t>Webcam HD 1080p</t>
  </si>
  <si>
    <t>SKU-5060</t>
  </si>
  <si>
    <t>Yoga Mat 6mm</t>
  </si>
  <si>
    <t>SKU-5012</t>
  </si>
  <si>
    <t>Router WiFi 6</t>
  </si>
  <si>
    <t>SKU-5033</t>
  </si>
  <si>
    <t>Water Filter Jug</t>
  </si>
  <si>
    <t>SKU-5001</t>
  </si>
  <si>
    <t>Bluetooth Speaker</t>
  </si>
  <si>
    <t>SKU-5029</t>
  </si>
  <si>
    <t>Thermal Underwear</t>
  </si>
  <si>
    <t>BetaTraders Islamabad</t>
  </si>
  <si>
    <t>SKU-5040</t>
  </si>
  <si>
    <t>Knife Set 5pc</t>
  </si>
  <si>
    <t>SKU-5016</t>
  </si>
  <si>
    <t>Women Kurta Embroidered</t>
  </si>
  <si>
    <t>SKU-5015</t>
  </si>
  <si>
    <t>Men Polo Shirt</t>
  </si>
  <si>
    <t>SKU-5069</t>
  </si>
  <si>
    <t>Football Size 5 Official</t>
  </si>
  <si>
    <t>SKU-5056</t>
  </si>
  <si>
    <t>Beard Oil 50ml</t>
  </si>
  <si>
    <t>SKU-5062</t>
  </si>
  <si>
    <t>Dumbbell 5kg Pair</t>
  </si>
  <si>
    <t>SKU-5071</t>
  </si>
  <si>
    <t>Skipping Counter</t>
  </si>
  <si>
    <t>SKU-5047</t>
  </si>
  <si>
    <t>Hair Growth Oil</t>
  </si>
  <si>
    <t>SKU-5041</t>
  </si>
  <si>
    <t>Food Storage Containers</t>
  </si>
  <si>
    <t>SKU-5022</t>
  </si>
  <si>
    <t>Formal Trousers</t>
  </si>
  <si>
    <t>SKU-5007</t>
  </si>
  <si>
    <t>Gaming Mouse</t>
  </si>
  <si>
    <t>SKU-5032</t>
  </si>
  <si>
    <t>Blender 600W</t>
  </si>
  <si>
    <t>SKU-5000</t>
  </si>
  <si>
    <t>Smart Plug 4-pack</t>
  </si>
  <si>
    <t>SKU-5026</t>
  </si>
  <si>
    <t>Baseball Cap</t>
  </si>
  <si>
    <t>SKU-5063</t>
  </si>
  <si>
    <t>Speed Jump Rope</t>
  </si>
  <si>
    <t>SKU-5054</t>
  </si>
  <si>
    <t>Lip Balm SPF Pack</t>
  </si>
  <si>
    <t>SKU-5031</t>
  </si>
  <si>
    <t>Non-Stick Pan Set 3pc</t>
  </si>
  <si>
    <t>SKU-5066</t>
  </si>
  <si>
    <t>Running Shoes Size 42</t>
  </si>
  <si>
    <t>SKU-5042</t>
  </si>
  <si>
    <t>Induction Cooker</t>
  </si>
  <si>
    <t>SKU-5028</t>
  </si>
  <si>
    <t>Gym Shorts</t>
  </si>
  <si>
    <t>SKU-5017</t>
  </si>
  <si>
    <t>Slim Denim Jeans</t>
  </si>
  <si>
    <t>SKU-5064</t>
  </si>
  <si>
    <t>Water Bottle 1L Steel</t>
  </si>
  <si>
    <t>SKU-5052</t>
  </si>
  <si>
    <t>Shampoo Argan 400ml</t>
  </si>
  <si>
    <t>SKU-5065</t>
  </si>
  <si>
    <t>Gym Gloves Large</t>
  </si>
  <si>
    <t>SKU-5061</t>
  </si>
  <si>
    <t>Resistance Bands Set 5</t>
  </si>
  <si>
    <t>SKU-5009</t>
  </si>
  <si>
    <t>Laptop Stand</t>
  </si>
  <si>
    <t>SKU-5068</t>
  </si>
  <si>
    <t>Cricket Bat Kashmir</t>
  </si>
  <si>
    <t>SKU-5005</t>
  </si>
  <si>
    <t>Smart Watch</t>
  </si>
  <si>
    <t>SKU-5038</t>
  </si>
  <si>
    <t>Chopping Board Set</t>
  </si>
  <si>
    <t>SKU-5036</t>
  </si>
  <si>
    <t>Coffee Maker Drip</t>
  </si>
  <si>
    <t>SKU-5049</t>
  </si>
  <si>
    <t>Protein Powder 1kg</t>
  </si>
  <si>
    <t>SKU-5020</t>
  </si>
  <si>
    <t>Winter Jacket Fleece</t>
  </si>
  <si>
    <t>SKU-5046</t>
  </si>
  <si>
    <t>Vitamin C Serum 30ml</t>
  </si>
  <si>
    <t>Leather Belt Brown</t>
  </si>
  <si>
    <t>SKU-5074</t>
  </si>
  <si>
    <t>Foam Roller</t>
  </si>
  <si>
    <t>SKU-5010</t>
  </si>
  <si>
    <t>HDMI Cable 2m</t>
  </si>
  <si>
    <t>SKU-5021</t>
  </si>
  <si>
    <t>Sports T-Shirt</t>
  </si>
  <si>
    <t>SKU-5058</t>
  </si>
  <si>
    <t>Eyelash Serum</t>
  </si>
  <si>
    <t>SKU-5019</t>
  </si>
  <si>
    <t>Body Lotion 250ml</t>
  </si>
  <si>
    <t>SKU-5048</t>
  </si>
  <si>
    <t>Electric Toothbrush</t>
  </si>
  <si>
    <t>SKU-5027</t>
  </si>
  <si>
    <t>Rain Coat</t>
  </si>
  <si>
    <t>SKU-5011</t>
  </si>
  <si>
    <t>Phone Tripod</t>
  </si>
  <si>
    <t>SKU-5003</t>
  </si>
  <si>
    <t>Wireless Earbuds</t>
  </si>
  <si>
    <t>SKU-5073</t>
  </si>
  <si>
    <t>Ankle Weights 2kg</t>
  </si>
  <si>
    <t>SKU-5008</t>
  </si>
  <si>
    <t>Mechanical Keyboard</t>
  </si>
  <si>
    <t>SKU-5051</t>
  </si>
  <si>
    <t>Sunscreen SPF50</t>
  </si>
  <si>
    <t>SKU-5072</t>
  </si>
  <si>
    <t>Pull-up Bar Doorway</t>
  </si>
  <si>
    <t>SKU-5018</t>
  </si>
  <si>
    <t>Casual Sneakers</t>
  </si>
  <si>
    <t>LED TV 32 inch</t>
  </si>
  <si>
    <t>SKU-5044</t>
  </si>
  <si>
    <t>Mixing Bowls Set</t>
  </si>
  <si>
    <t>SKU-5043</t>
  </si>
  <si>
    <t>Vegetable Steamer</t>
  </si>
  <si>
    <t>SKU-5039</t>
  </si>
  <si>
    <t>Toaster 2-Slice</t>
  </si>
  <si>
    <t>SKU-5034</t>
  </si>
  <si>
    <t>Dinner Set 24pc</t>
  </si>
  <si>
    <t>SKU-5023</t>
  </si>
  <si>
    <t>Summer Dress Floral</t>
  </si>
  <si>
    <t>LOG_ID</t>
  </si>
  <si>
    <t>Date</t>
  </si>
  <si>
    <t>Column_Affected</t>
  </si>
  <si>
    <t>Issue_Found</t>
  </si>
  <si>
    <t>Action_Taken</t>
  </si>
  <si>
    <t>Rows_Affected</t>
  </si>
  <si>
    <t>Why_This_Decision</t>
  </si>
  <si>
    <t>Status</t>
  </si>
  <si>
    <t>Count: 1136</t>
  </si>
  <si>
    <t>CL-001</t>
  </si>
  <si>
    <t>All Columns</t>
  </si>
  <si>
    <t>6 completely blank rows found scattered in dataset ; export artifact from CSV</t>
  </si>
  <si>
    <t>Selected blank rows using Ctrl+G Special → Blanks, deleted entire rows</t>
  </si>
  <si>
    <t>Done</t>
  </si>
  <si>
    <t>CL-002</t>
  </si>
  <si>
    <t>All 15 Columns</t>
  </si>
  <si>
    <t>Columns imported from CSV without correct data types — dates stored as text, numbers as general format</t>
  </si>
  <si>
    <t>Manually set correct data type for each column: SKU=Text, Quantities=Number, Prices=Number 2dp, Dates=Date YYYY-MM-DD</t>
  </si>
  <si>
    <t>All Rows</t>
  </si>
  <si>
    <t>CL-003</t>
  </si>
  <si>
    <t>Last_Sale_Date (Column I)</t>
  </si>
  <si>
    <t>1 row found with date in DD/MM/YYYY format instead of standard YYYY-MM-DD.
 Excel misreads this as text, making stock age calculation return an error for that row.</t>
  </si>
  <si>
    <t>Used helper formula =IF(ISNUMBER(I2),"OK","TEXT-CHECK") to identify non-date values. 
Manually corrected 1 row to YYYY-MM-DD format. Deleted helper column after fix.</t>
  </si>
  <si>
    <t>Incorrect data types cause formula errors silently. DATE functions won't work on text-formatted dates. 
Number formats prevent calculation errors. Must be fixed before any analysis.</t>
  </si>
  <si>
    <t>Blank rows contain zero data across all 15 columns. No analytical value. Confirmed each row was fully empty before deletion. 
Not a partial record.</t>
  </si>
  <si>
    <t>All date calculations (DATEDIF, TODAY()-date) require proper date format. 
A single text-formatted date returns #VALUE error which can cascade through pivot tables.</t>
  </si>
  <si>
    <t>CL-004</t>
  </si>
  <si>
    <t>Filtered column I for blanks. Filled all 4 remaining blank cells with placeholder date 2020-01-01. 
Added helper column P (Last_Sale_Date_Flag) using =IF(I2=DATE(2020,1,1),"NO SALE RECORDED","OK") to flag these rows throughout analysis.</t>
  </si>
  <si>
    <t>RAW_DATA contained 10 blank Last_Sale_Date rows. After removing BLANK Rows, 4 blank rows remained in CLEANED tab.</t>
  </si>
  <si>
    <t>Last_Sale_Date_Flag</t>
  </si>
  <si>
    <t>Quantity_Flag</t>
  </si>
  <si>
    <t>Margin_Flag</t>
  </si>
  <si>
    <t>CL-005</t>
  </si>
  <si>
    <t>Quantity_On_Hand (Column F)</t>
  </si>
  <si>
    <t>3 rows with negative quantity values found. Physically impossible in real inventory. 
Likely caused by incorrect return transaction entries.</t>
  </si>
  <si>
    <t>Added helper column Q (Quantity_Flag). Flagged 3 rows with "NEGATIVE QTY - DATA ERROR". Values NOT changed ,
 changing source data without business confirmation is fabrication.</t>
  </si>
  <si>
    <t>These rows require warehouse manager confirmation before correction. Product name, category and cost data still valid. 
Rows excluded from cash calculation in ANALYSIS tab to avoid false totals.</t>
  </si>
  <si>
    <t>Flagged</t>
  </si>
  <si>
    <t>Requires business confirmation</t>
  </si>
  <si>
    <t>CL-006</t>
  </si>
  <si>
    <t>Cost_Price_PKR (G), Selling_Price_PKR (H)</t>
  </si>
  <si>
    <t>4 rows where Cost_Price_PKR exceeds Selling_Price_PKR. Business is actively selling these products
 at a financial loss without realising it.</t>
  </si>
  <si>
    <t>Added helper column R (Margin_Flag). Flagged 4 rows with "SELLING AT LOSS - REVIEW PRICING". Prices NOT changed ,
 prices are factual business data.</t>
  </si>
  <si>
    <t>CL-007</t>
  </si>
  <si>
    <t>CL-008</t>
  </si>
  <si>
    <t>CL-009</t>
  </si>
  <si>
    <t>SUMMARY</t>
  </si>
  <si>
    <t>Changing prices would be data fabrication. Correct action is to surface this as a critical business finding on the dashboard. These 4 products are actively losing money on every sale.</t>
  </si>
  <si>
    <t>Cleaning Complete</t>
  </si>
  <si>
    <t>Duplicate_SKU_Check</t>
  </si>
  <si>
    <t>SKU (Column A)</t>
  </si>
  <si>
    <t>4 rows flagged with duplicate SKU codes. Found 2 pairs: SKU-5002 assigned to both USB-C Hub and Leather Belt Brown. 
SKU-5000 assigned to both Smart Plug 4-pack and LED TV 32 inch.</t>
  </si>
  <si>
    <t>SKU reassignment 
required by business</t>
  </si>
  <si>
    <t>Product_Name (B), Category (C), Supplier (D)</t>
  </si>
  <si>
    <t>Potential leading and trailing spaces in text columns , invisible but silently breaks COUNTIF and pivot table grouping</t>
  </si>
  <si>
    <t>Applied TRIM() formula to Product_Name, Category and Supplier using temporary column T. Pasted back as values only. 
Deleted temp column after each.</t>
  </si>
  <si>
    <t>All Rows - 75</t>
  </si>
  <si>
    <t>TRIM is non-destructive and only removes invisible whitespace. Standard practice on every text column before building
 pivot tables. A single extra space creates duplicate category groups in pivots without any visible warning.</t>
  </si>
  <si>
    <t>Category (Column C)</t>
  </si>
  <si>
    <t>Possible inconsistent text casing in Category column , mixed case creates duplicate groups in pivot tables</t>
  </si>
  <si>
    <t>Applied PROPER() formula using temporary column T. Pasted back as values only. Deleted temp column. 
Verified exactly 5 clean category names in filter dropdown</t>
  </si>
  <si>
    <t>Pivot tables are case sensitive. Even one inconsistent category name creates a duplicate group ,
 breaking all category level cash totals and dead stock calculations silently.</t>
  </si>
  <si>
    <t>Days_Since_Last_Sale</t>
  </si>
  <si>
    <t>Aging_Bucket</t>
  </si>
  <si>
    <t>Cash_Tied_Up_PKR</t>
  </si>
  <si>
    <t>Turnover_Ratio</t>
  </si>
  <si>
    <t>Reorder_Status</t>
  </si>
  <si>
    <t>Last_Sale_Flag</t>
  </si>
  <si>
    <t>Analysis_Date</t>
  </si>
  <si>
    <t>Grand Total</t>
  </si>
  <si>
    <t>🔴 Dead (90+ Days)</t>
  </si>
  <si>
    <t>🟠 Slow (31-60 Days)</t>
  </si>
  <si>
    <t>🟡 At Risk (61-90 Days)</t>
  </si>
  <si>
    <t>🟢 Active (0-30 Days)</t>
  </si>
  <si>
    <t>🔴 Dead - No Sale</t>
  </si>
  <si>
    <t>Cash Tied Up PKR</t>
  </si>
  <si>
    <t>Number of SKUs</t>
  </si>
  <si>
    <t xml:space="preserve">Cash Tied Up PKR </t>
  </si>
  <si>
    <t>Aging Bucket</t>
  </si>
  <si>
    <t>Note: Analysis date set to 10-May-2025 to cover all sale dates in
 dataset. Original attempt used 28-Apr-2025 which caused 
negative days for 1 product sold on 03-May-2025.</t>
  </si>
  <si>
    <t>Prepared by: Sundas Memon | Analysis Date: 10-May-2025 | 75 SKUs | 5 Categories | 4 Warehouses</t>
  </si>
  <si>
    <t>Key Performance Indicators</t>
  </si>
  <si>
    <t>Dead Stock Cash</t>
  </si>
  <si>
    <t>Dead SKU Count</t>
  </si>
  <si>
    <t>Total Inventory Value (PKR)</t>
  </si>
  <si>
    <t xml:space="preserve">% Inventory Dead </t>
  </si>
  <si>
    <t>Active (0-30) days</t>
  </si>
  <si>
    <t>Slow (31-60 Days)</t>
  </si>
  <si>
    <t>At Risk (61-90 Days)</t>
  </si>
  <si>
    <t>Dead (90+ Days)</t>
  </si>
  <si>
    <t>Dead - No Sale</t>
  </si>
  <si>
    <t>Cash Value PKR</t>
  </si>
  <si>
    <t>Dead Stock Cash PKR</t>
  </si>
  <si>
    <t>INVENTORY HEALTH &amp; DEAD STOCK ANALYSIS</t>
  </si>
  <si>
    <t>These are not true duplicate records , they are different products with incorrectly shared SKU codes. 
Deleting any row would remove valid inventory data. Business owner must reassign correct unique SKUs to these 4 products.
 This is a system/process finding, not a data cleaning deletion.</t>
  </si>
  <si>
    <t>Conservative approach throughout ,no data fabricated. All business findings surfaced as flags rather than silent deletions. 
Full audit trail maintained in rows CL-001 through CL-006.</t>
  </si>
  <si>
    <t>Investigated each pair. Confirmed these are SKU assignment errors,  different products given same SKU code. 
No rows deleted as all products are legitimate. Flagged in helper column S for business owner awareness.</t>
  </si>
  <si>
    <t>9 issue types identified across RAW_DATA. Issues included blank rows, wrong data types, incorrect date formats, blank dates, negative quantities, margin errors, duplicate SKUs, extra spaces and inconsistent casing.</t>
  </si>
  <si>
    <t>6 blank rows deleted. All 15 columns formatted correctly. 1 wrong date format corrected. 4 blank dates filled with 2020-01-01 placeholder. 3 negative quantities flagged. 4 margin errors flagged as critical business finding. Duplicate SKUs flagged for business review. TRIM applied to text columns. PROPER applied to Category column.</t>
  </si>
  <si>
    <t>Final cleaned dataset: 75 rows, 19 columns (A to S)</t>
  </si>
  <si>
    <t>KEY FINDINGS &amp; RECOMMENDATIONS</t>
  </si>
  <si>
    <t>Full Dataset - All 19 Columns</t>
  </si>
  <si>
    <t>Prepared by: Sundas Memon  |  Tool: Microsoft Excel  |  Dataset: Synthetic Inventory (75 SKUs)  |  Analysis Date: 10 May 2025</t>
  </si>
  <si>
    <t>Cannot calculate Days_Since_Last_Sale without a date value. 
Blank dates would return a #VALUE error breaking the entire 
aging analysis. Using 2020-01-01 as a placeholder applies a 
conservative assumption — products with no sale record are 
treated as extreme dead stock (1,500+ days). This is the 
safest business assumption because if no sale was ever 
recorded, the product should be treated as the highest 
priority dead stock candidate. Assumption is clearly 
disclosed via helper column P flag throughout the analysis 
and noted on the dashboard.</t>
  </si>
  <si>
    <r>
      <rPr>
        <b/>
        <sz val="10"/>
        <color rgb="FF1F3864"/>
        <rFont val="Calibri"/>
        <family val="2"/>
        <scheme val="minor"/>
      </rPr>
      <t xml:space="preserve">
FINDING 1 - CRITICAL LIQUIDITY RISK</t>
    </r>
    <r>
      <rPr>
        <sz val="10"/>
        <color rgb="FF1F3864"/>
        <rFont val="Calibri"/>
        <family val="2"/>
        <scheme val="minor"/>
      </rPr>
      <t xml:space="preserve">
PKR 91.6M representing 44.6% of total inventory value is completely dead, either unsold for 90+ days or with no sale record at all. This includes PKR 79.5M in products dead for 90+ days and PKR 12.1M in products with zero sales history.
</t>
    </r>
    <r>
      <rPr>
        <b/>
        <sz val="10"/>
        <color rgb="FF1F3864"/>
        <rFont val="Calibri"/>
        <family val="2"/>
        <scheme val="minor"/>
      </rPr>
      <t>FINDING 2 - HOME &amp; KITCHEN IS THE BIGGEST PROBLEM</t>
    </r>
    <r>
      <rPr>
        <sz val="10"/>
        <color rgb="FF1F3864"/>
        <rFont val="Calibri"/>
        <family val="2"/>
        <scheme val="minor"/>
      </rPr>
      <t xml:space="preserve">
Home &amp; Kitchen accounts for PKR 34M in dead stock, making it the single largest problem category in this analysis. With 8 out of 15 SKUs classified as dead stock, this category has a 53% dead stock rate. This pattern points to a systematic issue in purchasing decisions specific to this category and warrants an immediate review of the buying strategy.
</t>
    </r>
    <r>
      <rPr>
        <b/>
        <sz val="10"/>
        <color rgb="FF1F3864"/>
        <rFont val="Calibri"/>
        <family val="2"/>
        <scheme val="minor"/>
      </rPr>
      <t xml:space="preserve">FINDING 2B - ELECTRONICS HIDDEN RISK
</t>
    </r>
    <r>
      <rPr>
        <sz val="10"/>
        <color rgb="FF1F3864"/>
        <rFont val="Calibri"/>
        <family val="2"/>
        <scheme val="minor"/>
      </rPr>
      <t xml:space="preserve">Electronics appeared to have only PKR 3M in dead stock. However when No Sale products are included, Electronics dead stock rises to PKR 11.5M, making it the third largest problem category. 3 Electronics SKUs have never recorded a single sale in the system.
</t>
    </r>
    <r>
      <rPr>
        <b/>
        <sz val="10"/>
        <color rgb="FF1F3864"/>
        <rFont val="Calibri"/>
        <family val="2"/>
        <scheme val="minor"/>
      </rPr>
      <t xml:space="preserve">
FINDING 3 - OVERSTOCK CRISIS ON 17 SKUs
</t>
    </r>
    <r>
      <rPr>
        <sz val="10"/>
        <color rgb="FF1F3864"/>
        <rFont val="Calibri"/>
        <family val="2"/>
        <scheme val="minor"/>
      </rPr>
      <t xml:space="preserve">17 products are simultaneously classified as dead stock and carrying more than double their required reorder quantity. These represent the highest priority items for immediate action, as the business is holding excessive quantities of products that have completely stopped selling.
</t>
    </r>
    <r>
      <rPr>
        <b/>
        <sz val="10"/>
        <color rgb="FF1F3864"/>
        <rFont val="Calibri"/>
        <family val="2"/>
        <scheme val="minor"/>
      </rPr>
      <t xml:space="preserve">
FINDING 4 - DATA INTEGRITY RISK
</t>
    </r>
    <r>
      <rPr>
        <sz val="10"/>
        <color rgb="FF1F3864"/>
        <rFont val="Calibri"/>
        <family val="2"/>
        <scheme val="minor"/>
      </rPr>
      <t xml:space="preserve">2 SKU code conflicts were identified during the audit. SKU-5002 has been assigned to both USB-C Hub and Leather Belt Brown, while SKU-5000 has been assigned to both Smart Plug 4-pack and LED TV 32 inch. Inventory tracking will remain unreliable until unique SKUs are reassigned by the operations team.
</t>
    </r>
    <r>
      <rPr>
        <b/>
        <sz val="10"/>
        <color rgb="FF1F3864"/>
        <rFont val="Calibri"/>
        <family val="2"/>
        <scheme val="minor"/>
      </rPr>
      <t xml:space="preserve">
RECOMMENDATION 1 - IMMEDIATE CLEARANCE SALE
</t>
    </r>
    <r>
      <rPr>
        <sz val="10"/>
        <color rgb="FF1F3864"/>
        <rFont val="Calibri"/>
        <family val="2"/>
        <scheme val="minor"/>
      </rPr>
      <t xml:space="preserve">Launch a 30-40% discount campaign on the 17 overstocked dead SKUs immediately. Based on current stock valuations, a conservative estimate projects PKR 25-35M in cash recovery within 60 days. Home &amp; Kitchen and Clothing categories should be prioritised first given their disproportionate share of dead stock value.
</t>
    </r>
    <r>
      <rPr>
        <b/>
        <sz val="10"/>
        <color rgb="FF1F3864"/>
        <rFont val="Calibri"/>
        <family val="2"/>
        <scheme val="minor"/>
      </rPr>
      <t xml:space="preserve">
RECOMMENDATION 2 - REVIEW PURCHASING STRATEGY</t>
    </r>
    <r>
      <rPr>
        <sz val="10"/>
        <color rgb="FF1F3864"/>
        <rFont val="Calibri"/>
        <family val="2"/>
        <scheme val="minor"/>
      </rPr>
      <t xml:space="preserve">
A 32% dead stock rate across all SKUs indicates that buying decisions are not aligned with actual customer demand patterns. It is recommended that a minimum 90-day sales velocity check be implemented as a mandatory step before any new purchase order is approved going forward.
</t>
    </r>
    <r>
      <rPr>
        <b/>
        <sz val="10"/>
        <color rgb="FF1F3864"/>
        <rFont val="Calibri"/>
        <family val="2"/>
        <scheme val="minor"/>
      </rPr>
      <t xml:space="preserve">
RECOMMENDATION 3 - RESOLVE ZERO-SALE PRODUCTS
</t>
    </r>
    <r>
      <rPr>
        <sz val="10"/>
        <color rgb="FF1F3864"/>
        <rFont val="Calibri"/>
        <family val="2"/>
        <scheme val="minor"/>
      </rPr>
      <t xml:space="preserve">4 products currently have zero sales history recorded in the system. These should be investigated immediately for supplier return eligibility or inventory write-off. It is possible these products were never properly marketed, or they represent obsolete stock carried forward from a previous period that was never cleared.
</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</si>
</sst>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dd;@"/>
    <numFmt numFmtId="165" formatCode="0.0%"/>
    <numFmt numFmtId="166" formatCode="#,##0.0,,&quot; M&quot;"/>
  </numFmts>
  <fonts count="3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
      <sz val="8"/>
      <name val="Calibri"/>
      <family val="2"/>
      <scheme val="minor"/>
    </font>
    <font>
      <b/>
      <sz val="11"/>
      <color theme="1"/>
      <name val="Calibri"/>
      <family val="2"/>
    </font>
    <font>
      <b/>
      <sz val="14"/>
      <color theme="0"/>
      <name val="Calibri"/>
      <family val="2"/>
      <scheme val="minor"/>
    </font>
    <font>
      <sz val="11"/>
      <color rgb="FF14181F"/>
      <name val="Courier New"/>
      <family val="3"/>
    </font>
    <font>
      <sz val="12"/>
      <color theme="0"/>
      <name val="Calibri"/>
      <family val="2"/>
      <scheme val="minor"/>
    </font>
    <font>
      <b/>
      <sz val="12"/>
      <color theme="0"/>
      <name val="Calibri"/>
      <family val="2"/>
      <scheme val="minor"/>
    </font>
    <font>
      <sz val="11"/>
      <color rgb="FF1F3864"/>
      <name val="Calibri"/>
      <family val="2"/>
      <scheme val="minor"/>
    </font>
    <font>
      <b/>
      <sz val="24"/>
      <color theme="0"/>
      <name val="Calibri"/>
      <family val="2"/>
      <scheme val="minor"/>
    </font>
    <font>
      <sz val="10"/>
      <color theme="0"/>
      <name val="Calibri"/>
      <family val="2"/>
      <scheme val="minor"/>
    </font>
    <font>
      <b/>
      <sz val="9"/>
      <color theme="0"/>
      <name val="Calibri"/>
      <family val="2"/>
      <scheme val="minor"/>
    </font>
    <font>
      <b/>
      <sz val="22"/>
      <color rgb="FFC00000"/>
      <name val="Calibri"/>
      <family val="2"/>
      <scheme val="minor"/>
    </font>
    <font>
      <b/>
      <sz val="22"/>
      <color rgb="FF2E5597"/>
      <name val="Calibri"/>
      <family val="2"/>
      <scheme val="minor"/>
    </font>
    <font>
      <b/>
      <sz val="22"/>
      <color rgb="FFC55A11"/>
      <name val="Calibri"/>
      <family val="2"/>
      <scheme val="minor"/>
    </font>
    <font>
      <b/>
      <sz val="10"/>
      <color rgb="FF1F3864"/>
      <name val="Calibri"/>
      <family val="2"/>
      <scheme val="minor"/>
    </font>
    <font>
      <sz val="10"/>
      <color rgb="FF1F1F1F"/>
      <name val="Arial"/>
      <family val="2"/>
    </font>
    <font>
      <sz val="10"/>
      <name val="Calibri"/>
      <family val="2"/>
      <scheme val="minor"/>
    </font>
    <font>
      <sz val="10"/>
      <color rgb="FF1F3864"/>
      <name val="Calibri"/>
      <family val="2"/>
      <scheme val="minor"/>
    </font>
    <font>
      <sz val="11"/>
      <name val="Calibri"/>
      <family val="2"/>
      <scheme val="minor"/>
    </font>
    <font>
      <sz val="9"/>
      <color theme="0"/>
      <name val="Calibri"/>
      <family val="2"/>
      <scheme val="minor"/>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9" tint="0.79998168889431442"/>
        <bgColor indexed="64"/>
      </patternFill>
    </fill>
    <fill>
      <patternFill patternType="solid">
        <fgColor rgb="FFFF5050"/>
        <bgColor indexed="64"/>
      </patternFill>
    </fill>
    <fill>
      <patternFill patternType="solid">
        <fgColor rgb="FFFFFF00"/>
        <bgColor indexed="64"/>
      </patternFill>
    </fill>
    <fill>
      <patternFill patternType="solid">
        <fgColor rgb="FF002060"/>
        <bgColor indexed="64"/>
      </patternFill>
    </fill>
    <fill>
      <patternFill patternType="solid">
        <fgColor rgb="FF1F3864"/>
        <bgColor indexed="64"/>
      </patternFill>
    </fill>
    <fill>
      <patternFill patternType="solid">
        <fgColor rgb="FFFFFFFF"/>
        <bgColor indexed="64"/>
      </patternFill>
    </fill>
    <fill>
      <patternFill patternType="solid">
        <fgColor rgb="FF2E5597"/>
        <bgColor indexed="64"/>
      </patternFill>
    </fill>
    <fill>
      <patternFill patternType="solid">
        <fgColor rgb="FFD6E4F0"/>
        <bgColor indexed="64"/>
      </patternFill>
    </fill>
    <fill>
      <patternFill patternType="solid">
        <fgColor rgb="FFFCE4D6"/>
        <bgColor indexed="64"/>
      </patternFill>
    </fill>
    <fill>
      <patternFill patternType="solid">
        <fgColor rgb="FFFFCCCC"/>
        <bgColor indexed="64"/>
      </patternFill>
    </fill>
    <fill>
      <patternFill patternType="solid">
        <fgColor theme="0"/>
        <bgColor indexed="64"/>
      </patternFill>
    </fill>
    <fill>
      <patternFill patternType="solid">
        <fgColor theme="2" tint="-0.249977111117893"/>
        <bgColor indexed="64"/>
      </patternFill>
    </fill>
    <fill>
      <patternFill patternType="solid">
        <fgColor rgb="FFEBF1FB"/>
        <bgColor indexed="64"/>
      </patternFill>
    </fill>
  </fills>
  <borders count="5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top/>
      <bottom style="thin">
        <color rgb="FFFFFFFF"/>
      </bottom>
      <diagonal/>
    </border>
    <border>
      <left style="thick">
        <color theme="1"/>
      </left>
      <right/>
      <top/>
      <bottom/>
      <diagonal/>
    </border>
    <border>
      <left/>
      <right/>
      <top/>
      <bottom style="thick">
        <color theme="1"/>
      </bottom>
      <diagonal/>
    </border>
    <border>
      <left style="thick">
        <color theme="1"/>
      </left>
      <right/>
      <top style="thick">
        <color theme="1"/>
      </top>
      <bottom/>
      <diagonal/>
    </border>
    <border>
      <left/>
      <right/>
      <top style="thick">
        <color theme="1"/>
      </top>
      <bottom/>
      <diagonal/>
    </border>
    <border>
      <left style="thick">
        <color theme="1"/>
      </left>
      <right/>
      <top/>
      <bottom style="thick">
        <color theme="1"/>
      </bottom>
      <diagonal/>
    </border>
    <border>
      <left/>
      <right style="thick">
        <color theme="1"/>
      </right>
      <top style="thick">
        <color theme="1"/>
      </top>
      <bottom/>
      <diagonal/>
    </border>
    <border>
      <left/>
      <right style="thick">
        <color theme="1"/>
      </right>
      <top/>
      <bottom/>
      <diagonal/>
    </border>
    <border>
      <left/>
      <right style="thick">
        <color theme="1"/>
      </right>
      <top/>
      <bottom style="thick">
        <color theme="1"/>
      </bottom>
      <diagonal/>
    </border>
    <border>
      <left/>
      <right/>
      <top style="thick">
        <color theme="1"/>
      </top>
      <bottom style="thick">
        <color theme="1"/>
      </bottom>
      <diagonal/>
    </border>
    <border>
      <left style="thick">
        <color theme="1"/>
      </left>
      <right style="thick">
        <color theme="1"/>
      </right>
      <top/>
      <bottom/>
      <diagonal/>
    </border>
    <border>
      <left style="thick">
        <color theme="1"/>
      </left>
      <right/>
      <top style="thick">
        <color theme="1"/>
      </top>
      <bottom style="thick">
        <color theme="1"/>
      </bottom>
      <diagonal/>
    </border>
    <border>
      <left/>
      <right style="thick">
        <color theme="1"/>
      </right>
      <top style="thick">
        <color theme="1"/>
      </top>
      <bottom style="thick">
        <color theme="1"/>
      </bottom>
      <diagonal/>
    </border>
    <border>
      <left style="medium">
        <color indexed="64"/>
      </left>
      <right/>
      <top style="thick">
        <color theme="1"/>
      </top>
      <bottom/>
      <diagonal/>
    </border>
    <border>
      <left style="medium">
        <color indexed="64"/>
      </left>
      <right/>
      <top/>
      <bottom style="thick">
        <color theme="1"/>
      </bottom>
      <diagonal/>
    </border>
    <border>
      <left style="medium">
        <color indexed="64"/>
      </left>
      <right/>
      <top style="thick">
        <color theme="1"/>
      </top>
      <bottom style="thick">
        <color theme="1"/>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57">
    <xf numFmtId="0" fontId="0" fillId="0" borderId="0" xfId="0"/>
    <xf numFmtId="14" fontId="0" fillId="0" borderId="0" xfId="0" applyNumberFormat="1"/>
    <xf numFmtId="0" fontId="0" fillId="0" borderId="0" xfId="0" applyBorder="1"/>
    <xf numFmtId="1" fontId="0" fillId="0" borderId="0" xfId="0" applyNumberFormat="1"/>
    <xf numFmtId="49" fontId="0" fillId="0" borderId="0" xfId="0" applyNumberFormat="1"/>
    <xf numFmtId="0" fontId="0" fillId="0" borderId="10" xfId="0" applyBorder="1"/>
    <xf numFmtId="0" fontId="0" fillId="0" borderId="0" xfId="0" applyAlignment="1">
      <alignment horizontal="center" vertical="center"/>
    </xf>
    <xf numFmtId="1" fontId="0" fillId="0" borderId="0" xfId="0" applyNumberFormat="1"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0" fontId="16" fillId="0" borderId="0" xfId="0" applyFont="1" applyAlignment="1">
      <alignment horizontal="center" vertical="center"/>
    </xf>
    <xf numFmtId="0" fontId="0" fillId="0" borderId="0" xfId="0" applyFont="1"/>
    <xf numFmtId="0" fontId="18" fillId="0" borderId="12" xfId="0" applyFont="1" applyBorder="1" applyAlignment="1">
      <alignment horizontal="center" vertical="center"/>
    </xf>
    <xf numFmtId="0" fontId="0" fillId="0" borderId="12" xfId="0" applyBorder="1" applyAlignment="1">
      <alignment horizontal="center" vertical="center" wrapText="1"/>
    </xf>
    <xf numFmtId="0" fontId="0" fillId="0" borderId="12" xfId="0" applyBorder="1" applyAlignment="1">
      <alignment horizontal="center" vertical="center"/>
    </xf>
    <xf numFmtId="0" fontId="18" fillId="0" borderId="12" xfId="0" applyFont="1" applyBorder="1" applyAlignment="1">
      <alignment horizontal="center" vertical="center" wrapText="1"/>
    </xf>
    <xf numFmtId="1" fontId="18" fillId="0" borderId="12" xfId="0" applyNumberFormat="1" applyFont="1" applyBorder="1" applyAlignment="1">
      <alignment horizontal="center" vertical="center"/>
    </xf>
    <xf numFmtId="0" fontId="18" fillId="0" borderId="13" xfId="0" applyFont="1" applyBorder="1" applyAlignment="1">
      <alignment horizontal="center" vertical="center"/>
    </xf>
    <xf numFmtId="0" fontId="18" fillId="0" borderId="13" xfId="0" applyFont="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wrapText="1"/>
    </xf>
    <xf numFmtId="0" fontId="18" fillId="0" borderId="15" xfId="0" applyFont="1" applyBorder="1" applyAlignment="1">
      <alignment horizontal="center" vertical="center" wrapText="1"/>
    </xf>
    <xf numFmtId="0" fontId="18" fillId="0" borderId="16" xfId="0" applyFont="1" applyBorder="1" applyAlignment="1">
      <alignment horizontal="center" vertical="center" wrapText="1"/>
    </xf>
    <xf numFmtId="0" fontId="0" fillId="0" borderId="15" xfId="0" applyBorder="1" applyAlignment="1">
      <alignment horizontal="center" vertical="center" wrapText="1"/>
    </xf>
    <xf numFmtId="0" fontId="0" fillId="0" borderId="0" xfId="0" applyBorder="1" applyAlignment="1">
      <alignment horizontal="center" vertical="center"/>
    </xf>
    <xf numFmtId="0" fontId="0" fillId="0" borderId="26" xfId="0" applyBorder="1" applyAlignment="1">
      <alignment horizontal="center" vertical="center"/>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xf numFmtId="0" fontId="0" fillId="36" borderId="10" xfId="0" applyFill="1" applyBorder="1" applyAlignment="1">
      <alignment horizontal="center" vertical="center" wrapText="1"/>
    </xf>
    <xf numFmtId="0" fontId="0" fillId="36" borderId="10" xfId="0" applyFill="1" applyBorder="1" applyAlignment="1">
      <alignment wrapText="1"/>
    </xf>
    <xf numFmtId="0" fontId="18" fillId="0" borderId="23" xfId="0" applyFont="1" applyBorder="1" applyAlignment="1">
      <alignment vertical="center"/>
    </xf>
    <xf numFmtId="14" fontId="18" fillId="0" borderId="12" xfId="0" applyNumberFormat="1" applyFont="1" applyBorder="1" applyAlignment="1">
      <alignment vertical="center"/>
    </xf>
    <xf numFmtId="0" fontId="18" fillId="0" borderId="24" xfId="0" applyFont="1" applyBorder="1" applyAlignment="1">
      <alignment vertical="center"/>
    </xf>
    <xf numFmtId="14" fontId="18" fillId="0" borderId="13" xfId="0" applyNumberFormat="1" applyFont="1" applyBorder="1" applyAlignment="1">
      <alignment vertical="center"/>
    </xf>
    <xf numFmtId="0" fontId="0" fillId="0" borderId="25" xfId="0" applyBorder="1" applyAlignment="1">
      <alignment vertical="center"/>
    </xf>
    <xf numFmtId="14" fontId="18" fillId="0" borderId="26" xfId="0" applyNumberFormat="1" applyFont="1" applyBorder="1" applyAlignment="1">
      <alignment vertical="center"/>
    </xf>
    <xf numFmtId="0" fontId="20" fillId="34" borderId="11" xfId="0" applyFont="1" applyFill="1" applyBorder="1" applyAlignment="1">
      <alignment horizontal="center" vertical="center"/>
    </xf>
    <xf numFmtId="0" fontId="20" fillId="35" borderId="11" xfId="0" applyFont="1" applyFill="1" applyBorder="1" applyAlignment="1">
      <alignment horizontal="center" vertical="center"/>
    </xf>
    <xf numFmtId="0" fontId="20" fillId="35" borderId="17" xfId="0" applyFont="1" applyFill="1" applyBorder="1" applyAlignment="1">
      <alignment horizontal="center" vertical="center"/>
    </xf>
    <xf numFmtId="0" fontId="20" fillId="35" borderId="18" xfId="0" applyFont="1" applyFill="1" applyBorder="1" applyAlignment="1">
      <alignment horizontal="center" vertical="center"/>
    </xf>
    <xf numFmtId="0" fontId="20" fillId="34" borderId="18" xfId="0" applyFont="1" applyFill="1" applyBorder="1" applyAlignment="1">
      <alignment horizontal="center" vertical="center"/>
    </xf>
    <xf numFmtId="0" fontId="16" fillId="34" borderId="19" xfId="0" applyFont="1" applyFill="1" applyBorder="1" applyAlignment="1">
      <alignment horizontal="center" vertical="center"/>
    </xf>
    <xf numFmtId="49" fontId="0" fillId="0" borderId="0" xfId="0" applyNumberFormat="1" applyFont="1"/>
    <xf numFmtId="1" fontId="0" fillId="0" borderId="0" xfId="0" applyNumberFormat="1" applyFont="1"/>
    <xf numFmtId="2" fontId="0" fillId="0" borderId="0" xfId="0" applyNumberFormat="1" applyFont="1"/>
    <xf numFmtId="164" fontId="0" fillId="0" borderId="0" xfId="0" applyNumberFormat="1" applyFont="1"/>
    <xf numFmtId="0" fontId="0" fillId="0" borderId="0" xfId="0" applyFont="1" applyFill="1" applyBorder="1"/>
    <xf numFmtId="0" fontId="21" fillId="37" borderId="0" xfId="0" applyFont="1" applyFill="1"/>
    <xf numFmtId="14" fontId="22" fillId="0" borderId="0" xfId="0" applyNumberFormat="1" applyFont="1" applyAlignment="1">
      <alignment vertical="center"/>
    </xf>
    <xf numFmtId="0" fontId="22" fillId="0" borderId="0" xfId="0" applyFont="1" applyFill="1" applyAlignment="1">
      <alignment vertical="center"/>
    </xf>
    <xf numFmtId="0" fontId="0" fillId="0" borderId="0" xfId="0" applyAlignment="1">
      <alignment horizontal="left"/>
    </xf>
    <xf numFmtId="0" fontId="0" fillId="0" borderId="0" xfId="0" applyAlignment="1">
      <alignment horizontal="left" indent="1"/>
    </xf>
    <xf numFmtId="0" fontId="0" fillId="0" borderId="0" xfId="0" applyNumberFormat="1"/>
    <xf numFmtId="2" fontId="0" fillId="0" borderId="0" xfId="0" applyNumberFormat="1"/>
    <xf numFmtId="164" fontId="0" fillId="0" borderId="0" xfId="0" applyNumberFormat="1"/>
    <xf numFmtId="0" fontId="23" fillId="38" borderId="0" xfId="0" applyFont="1" applyFill="1" applyAlignment="1">
      <alignment horizontal="center" vertical="center"/>
    </xf>
    <xf numFmtId="0" fontId="25" fillId="33" borderId="0" xfId="0" applyFont="1" applyFill="1" applyAlignment="1">
      <alignment horizontal="left"/>
    </xf>
    <xf numFmtId="2" fontId="25" fillId="33" borderId="0" xfId="0" applyNumberFormat="1" applyFont="1" applyFill="1"/>
    <xf numFmtId="0" fontId="24" fillId="37" borderId="0" xfId="0" applyFont="1" applyFill="1" applyAlignment="1">
      <alignment horizontal="center" vertical="center"/>
    </xf>
    <xf numFmtId="1" fontId="24" fillId="37" borderId="0" xfId="0" applyNumberFormat="1" applyFont="1" applyFill="1" applyAlignment="1">
      <alignment horizontal="center" vertical="center"/>
    </xf>
    <xf numFmtId="2" fontId="24" fillId="37" borderId="0" xfId="0" applyNumberFormat="1" applyFont="1" applyFill="1" applyAlignment="1">
      <alignment horizontal="center" vertical="center"/>
    </xf>
    <xf numFmtId="164" fontId="24" fillId="37" borderId="0" xfId="0" applyNumberFormat="1" applyFont="1" applyFill="1" applyAlignment="1">
      <alignment horizontal="center" vertical="center"/>
    </xf>
    <xf numFmtId="0" fontId="25" fillId="33" borderId="0" xfId="0" applyNumberFormat="1" applyFont="1" applyFill="1"/>
    <xf numFmtId="0" fontId="17" fillId="38" borderId="0" xfId="0" applyFont="1" applyFill="1"/>
    <xf numFmtId="0" fontId="23" fillId="38" borderId="0" xfId="0" applyFont="1" applyFill="1"/>
    <xf numFmtId="0" fontId="17" fillId="0" borderId="0" xfId="0" applyFont="1" applyFill="1"/>
    <xf numFmtId="0" fontId="0" fillId="39" borderId="0" xfId="0" applyFill="1"/>
    <xf numFmtId="0" fontId="0" fillId="39" borderId="0" xfId="0" applyFill="1" applyAlignment="1">
      <alignment horizontal="center"/>
    </xf>
    <xf numFmtId="0" fontId="0" fillId="39" borderId="30" xfId="0" applyFill="1" applyBorder="1"/>
    <xf numFmtId="0" fontId="0" fillId="39" borderId="0" xfId="0" applyFill="1" applyBorder="1"/>
    <xf numFmtId="165" fontId="29" fillId="0" borderId="0" xfId="0" applyNumberFormat="1" applyFont="1" applyFill="1" applyBorder="1" applyAlignment="1">
      <alignment vertical="center"/>
    </xf>
    <xf numFmtId="165" fontId="13" fillId="0" borderId="0" xfId="0" applyNumberFormat="1" applyFont="1" applyFill="1" applyBorder="1" applyAlignment="1"/>
    <xf numFmtId="0" fontId="0" fillId="39" borderId="34" xfId="0" applyFill="1" applyBorder="1"/>
    <xf numFmtId="0" fontId="0" fillId="39" borderId="40" xfId="0" applyFill="1" applyBorder="1"/>
    <xf numFmtId="0" fontId="17" fillId="44" borderId="0" xfId="0" applyFont="1" applyFill="1" applyBorder="1"/>
    <xf numFmtId="0" fontId="13" fillId="38" borderId="20" xfId="4" applyFont="1" applyFill="1" applyBorder="1" applyAlignment="1">
      <alignment horizontal="center"/>
    </xf>
    <xf numFmtId="0" fontId="13" fillId="38" borderId="21" xfId="4" applyFont="1" applyFill="1" applyBorder="1" applyAlignment="1">
      <alignment horizontal="center"/>
    </xf>
    <xf numFmtId="0" fontId="13" fillId="38" borderId="22" xfId="4" applyFont="1" applyFill="1" applyBorder="1" applyAlignment="1">
      <alignment horizontal="center"/>
    </xf>
    <xf numFmtId="0" fontId="17" fillId="38" borderId="14" xfId="0" applyFont="1" applyFill="1" applyBorder="1"/>
    <xf numFmtId="49" fontId="16" fillId="45" borderId="0" xfId="0" applyNumberFormat="1" applyFont="1" applyFill="1" applyAlignment="1">
      <alignment horizontal="center" vertical="center"/>
    </xf>
    <xf numFmtId="0" fontId="16" fillId="45" borderId="0" xfId="0" applyFont="1" applyFill="1" applyAlignment="1">
      <alignment horizontal="center" vertical="center"/>
    </xf>
    <xf numFmtId="1" fontId="16" fillId="45" borderId="0" xfId="0" applyNumberFormat="1" applyFont="1" applyFill="1" applyAlignment="1">
      <alignment horizontal="center" vertical="center"/>
    </xf>
    <xf numFmtId="2" fontId="16" fillId="45" borderId="0" xfId="0" applyNumberFormat="1" applyFont="1" applyFill="1" applyAlignment="1">
      <alignment horizontal="center" vertical="center"/>
    </xf>
    <xf numFmtId="164" fontId="16" fillId="45" borderId="0" xfId="0" applyNumberFormat="1" applyFont="1" applyFill="1" applyAlignment="1">
      <alignment horizontal="center" vertical="center"/>
    </xf>
    <xf numFmtId="0" fontId="0" fillId="36" borderId="0" xfId="0" applyFill="1"/>
    <xf numFmtId="14" fontId="0" fillId="36" borderId="0" xfId="0" applyNumberFormat="1" applyFill="1"/>
    <xf numFmtId="0" fontId="33" fillId="0" borderId="0" xfId="0" applyFont="1" applyAlignment="1">
      <alignment vertical="center"/>
    </xf>
    <xf numFmtId="0" fontId="36" fillId="39" borderId="0" xfId="0" applyFont="1" applyFill="1"/>
    <xf numFmtId="0" fontId="36" fillId="44" borderId="0" xfId="0" applyFont="1" applyFill="1" applyBorder="1"/>
    <xf numFmtId="2" fontId="36" fillId="44" borderId="0" xfId="0" applyNumberFormat="1" applyFont="1" applyFill="1" applyBorder="1"/>
    <xf numFmtId="0" fontId="34" fillId="44" borderId="0" xfId="0" applyFont="1" applyFill="1" applyBorder="1"/>
    <xf numFmtId="0" fontId="36" fillId="44" borderId="0" xfId="0" applyFont="1" applyFill="1"/>
    <xf numFmtId="2" fontId="34" fillId="44" borderId="0" xfId="0" applyNumberFormat="1" applyFont="1" applyFill="1" applyBorder="1"/>
    <xf numFmtId="0" fontId="37" fillId="38" borderId="15" xfId="0" applyFont="1" applyFill="1" applyBorder="1" applyAlignment="1">
      <alignment horizontal="left"/>
    </xf>
    <xf numFmtId="0" fontId="37" fillId="38" borderId="49" xfId="0" applyFont="1" applyFill="1" applyBorder="1" applyAlignment="1">
      <alignment horizontal="left"/>
    </xf>
    <xf numFmtId="0" fontId="37" fillId="38" borderId="50" xfId="0" applyFont="1" applyFill="1" applyBorder="1" applyAlignment="1">
      <alignment horizontal="left"/>
    </xf>
    <xf numFmtId="0" fontId="24" fillId="38" borderId="0" xfId="0" applyFont="1" applyFill="1" applyAlignment="1">
      <alignment horizontal="center" vertical="center"/>
    </xf>
    <xf numFmtId="0" fontId="0" fillId="46" borderId="46" xfId="0" applyFill="1" applyBorder="1" applyAlignment="1">
      <alignment horizontal="left" vertical="top" wrapText="1"/>
    </xf>
    <xf numFmtId="0" fontId="0" fillId="46" borderId="22" xfId="0" applyFill="1" applyBorder="1" applyAlignment="1">
      <alignment horizontal="left" vertical="top" wrapText="1"/>
    </xf>
    <xf numFmtId="0" fontId="0" fillId="46" borderId="14" xfId="0" applyFill="1" applyBorder="1" applyAlignment="1">
      <alignment horizontal="left" vertical="top" wrapText="1"/>
    </xf>
    <xf numFmtId="0" fontId="0" fillId="46" borderId="29" xfId="0" applyFill="1" applyBorder="1" applyAlignment="1">
      <alignment horizontal="left" vertical="top" wrapText="1"/>
    </xf>
    <xf numFmtId="0" fontId="0" fillId="46" borderId="0" xfId="0" applyFill="1" applyBorder="1" applyAlignment="1">
      <alignment horizontal="left" vertical="top" wrapText="1"/>
    </xf>
    <xf numFmtId="0" fontId="0" fillId="46" borderId="10" xfId="0" applyFill="1" applyBorder="1" applyAlignment="1">
      <alignment horizontal="left" vertical="top" wrapText="1"/>
    </xf>
    <xf numFmtId="0" fontId="0" fillId="46" borderId="47" xfId="0" applyFill="1" applyBorder="1" applyAlignment="1">
      <alignment horizontal="left" vertical="top" wrapText="1"/>
    </xf>
    <xf numFmtId="0" fontId="0" fillId="46" borderId="48" xfId="0" applyFill="1" applyBorder="1" applyAlignment="1">
      <alignment horizontal="left" vertical="top" wrapText="1"/>
    </xf>
    <xf numFmtId="0" fontId="0" fillId="46" borderId="28" xfId="0" applyFill="1" applyBorder="1" applyAlignment="1">
      <alignment horizontal="left" vertical="top" wrapText="1"/>
    </xf>
    <xf numFmtId="165" fontId="29" fillId="43" borderId="33" xfId="0" applyNumberFormat="1" applyFont="1" applyFill="1" applyBorder="1" applyAlignment="1">
      <alignment horizontal="center" vertical="center"/>
    </xf>
    <xf numFmtId="165" fontId="29" fillId="43" borderId="34" xfId="0" applyNumberFormat="1" applyFont="1" applyFill="1" applyBorder="1" applyAlignment="1">
      <alignment horizontal="center" vertical="center"/>
    </xf>
    <xf numFmtId="165" fontId="29" fillId="43" borderId="36" xfId="0" applyNumberFormat="1" applyFont="1" applyFill="1" applyBorder="1" applyAlignment="1">
      <alignment horizontal="center" vertical="center"/>
    </xf>
    <xf numFmtId="165" fontId="29" fillId="43" borderId="31" xfId="0" applyNumberFormat="1" applyFont="1" applyFill="1" applyBorder="1" applyAlignment="1">
      <alignment horizontal="center" vertical="center"/>
    </xf>
    <xf numFmtId="165" fontId="29" fillId="43" borderId="0" xfId="0" applyNumberFormat="1" applyFont="1" applyFill="1" applyBorder="1" applyAlignment="1">
      <alignment horizontal="center" vertical="center"/>
    </xf>
    <xf numFmtId="165" fontId="29" fillId="43" borderId="37" xfId="0" applyNumberFormat="1" applyFont="1" applyFill="1" applyBorder="1" applyAlignment="1">
      <alignment horizontal="center" vertical="center"/>
    </xf>
    <xf numFmtId="165" fontId="29" fillId="43" borderId="35" xfId="0" applyNumberFormat="1" applyFont="1" applyFill="1" applyBorder="1" applyAlignment="1">
      <alignment horizontal="center" vertical="center"/>
    </xf>
    <xf numFmtId="165" fontId="29" fillId="43" borderId="32" xfId="0" applyNumberFormat="1" applyFont="1" applyFill="1" applyBorder="1" applyAlignment="1">
      <alignment horizontal="center" vertical="center"/>
    </xf>
    <xf numFmtId="165" fontId="29" fillId="43" borderId="38" xfId="0" applyNumberFormat="1" applyFont="1" applyFill="1" applyBorder="1" applyAlignment="1">
      <alignment horizontal="center" vertical="center"/>
    </xf>
    <xf numFmtId="165" fontId="13" fillId="38" borderId="41" xfId="0" applyNumberFormat="1" applyFont="1" applyFill="1" applyBorder="1" applyAlignment="1">
      <alignment horizontal="center"/>
    </xf>
    <xf numFmtId="165" fontId="13" fillId="38" borderId="39" xfId="0" applyNumberFormat="1" applyFont="1" applyFill="1" applyBorder="1" applyAlignment="1">
      <alignment horizontal="center"/>
    </xf>
    <xf numFmtId="165" fontId="13" fillId="38" borderId="42" xfId="0" applyNumberFormat="1" applyFont="1" applyFill="1" applyBorder="1" applyAlignment="1">
      <alignment horizontal="center"/>
    </xf>
    <xf numFmtId="0" fontId="26" fillId="38" borderId="0" xfId="0" applyFont="1" applyFill="1" applyAlignment="1">
      <alignment horizontal="center" vertical="center"/>
    </xf>
    <xf numFmtId="0" fontId="27" fillId="40" borderId="0" xfId="0" applyFont="1" applyFill="1" applyAlignment="1">
      <alignment horizontal="center" vertical="center"/>
    </xf>
    <xf numFmtId="0" fontId="32" fillId="41" borderId="32" xfId="0" applyFont="1" applyFill="1" applyBorder="1" applyAlignment="1">
      <alignment horizontal="center" vertical="center"/>
    </xf>
    <xf numFmtId="0" fontId="32" fillId="41" borderId="0" xfId="0" applyFont="1" applyFill="1" applyBorder="1" applyAlignment="1">
      <alignment horizontal="center" vertical="center"/>
    </xf>
    <xf numFmtId="166" fontId="30" fillId="41" borderId="43" xfId="42" applyNumberFormat="1" applyFont="1" applyFill="1" applyBorder="1" applyAlignment="1">
      <alignment horizontal="center" vertical="center"/>
    </xf>
    <xf numFmtId="166" fontId="30" fillId="41" borderId="34" xfId="42" applyNumberFormat="1" applyFont="1" applyFill="1" applyBorder="1" applyAlignment="1">
      <alignment horizontal="center" vertical="center"/>
    </xf>
    <xf numFmtId="166" fontId="30" fillId="41" borderId="36" xfId="42" applyNumberFormat="1" applyFont="1" applyFill="1" applyBorder="1" applyAlignment="1">
      <alignment horizontal="center" vertical="center"/>
    </xf>
    <xf numFmtId="166" fontId="30" fillId="41" borderId="29" xfId="42" applyNumberFormat="1" applyFont="1" applyFill="1" applyBorder="1" applyAlignment="1">
      <alignment horizontal="center" vertical="center"/>
    </xf>
    <xf numFmtId="166" fontId="30" fillId="41" borderId="0" xfId="42" applyNumberFormat="1" applyFont="1" applyFill="1" applyBorder="1" applyAlignment="1">
      <alignment horizontal="center" vertical="center"/>
    </xf>
    <xf numFmtId="166" fontId="30" fillId="41" borderId="37" xfId="42" applyNumberFormat="1" applyFont="1" applyFill="1" applyBorder="1" applyAlignment="1">
      <alignment horizontal="center" vertical="center"/>
    </xf>
    <xf numFmtId="166" fontId="30" fillId="41" borderId="44" xfId="42" applyNumberFormat="1" applyFont="1" applyFill="1" applyBorder="1" applyAlignment="1">
      <alignment horizontal="center" vertical="center"/>
    </xf>
    <xf numFmtId="166" fontId="30" fillId="41" borderId="32" xfId="42" applyNumberFormat="1" applyFont="1" applyFill="1" applyBorder="1" applyAlignment="1">
      <alignment horizontal="center" vertical="center"/>
    </xf>
    <xf numFmtId="166" fontId="30" fillId="41" borderId="38" xfId="42" applyNumberFormat="1" applyFont="1" applyFill="1" applyBorder="1" applyAlignment="1">
      <alignment horizontal="center" vertical="center"/>
    </xf>
    <xf numFmtId="0" fontId="28" fillId="38" borderId="45" xfId="0" applyFont="1" applyFill="1" applyBorder="1" applyAlignment="1">
      <alignment horizontal="center" vertical="center"/>
    </xf>
    <xf numFmtId="0" fontId="28" fillId="38" borderId="39" xfId="0" applyFont="1" applyFill="1" applyBorder="1" applyAlignment="1">
      <alignment horizontal="center" vertical="center"/>
    </xf>
    <xf numFmtId="0" fontId="28" fillId="38" borderId="42" xfId="0" applyFont="1" applyFill="1" applyBorder="1" applyAlignment="1">
      <alignment horizontal="center" vertical="center"/>
    </xf>
    <xf numFmtId="166" fontId="29" fillId="43" borderId="33" xfId="0" applyNumberFormat="1" applyFont="1" applyFill="1" applyBorder="1" applyAlignment="1">
      <alignment horizontal="center" vertical="center"/>
    </xf>
    <xf numFmtId="166" fontId="29" fillId="43" borderId="34" xfId="0" applyNumberFormat="1" applyFont="1" applyFill="1" applyBorder="1" applyAlignment="1">
      <alignment horizontal="center" vertical="center"/>
    </xf>
    <xf numFmtId="166" fontId="29" fillId="43" borderId="36" xfId="0" applyNumberFormat="1" applyFont="1" applyFill="1" applyBorder="1" applyAlignment="1">
      <alignment horizontal="center" vertical="center"/>
    </xf>
    <xf numFmtId="166" fontId="29" fillId="43" borderId="31" xfId="0" applyNumberFormat="1" applyFont="1" applyFill="1" applyBorder="1" applyAlignment="1">
      <alignment horizontal="center" vertical="center"/>
    </xf>
    <xf numFmtId="166" fontId="29" fillId="43" borderId="0" xfId="0" applyNumberFormat="1" applyFont="1" applyFill="1" applyBorder="1" applyAlignment="1">
      <alignment horizontal="center" vertical="center"/>
    </xf>
    <xf numFmtId="166" fontId="29" fillId="43" borderId="37" xfId="0" applyNumberFormat="1" applyFont="1" applyFill="1" applyBorder="1" applyAlignment="1">
      <alignment horizontal="center" vertical="center"/>
    </xf>
    <xf numFmtId="166" fontId="29" fillId="43" borderId="35" xfId="0" applyNumberFormat="1" applyFont="1" applyFill="1" applyBorder="1" applyAlignment="1">
      <alignment horizontal="center" vertical="center"/>
    </xf>
    <xf numFmtId="166" fontId="29" fillId="43" borderId="32" xfId="0" applyNumberFormat="1" applyFont="1" applyFill="1" applyBorder="1" applyAlignment="1">
      <alignment horizontal="center" vertical="center"/>
    </xf>
    <xf numFmtId="166" fontId="29" fillId="43" borderId="38" xfId="0" applyNumberFormat="1" applyFont="1" applyFill="1" applyBorder="1" applyAlignment="1">
      <alignment horizontal="center" vertical="center"/>
    </xf>
    <xf numFmtId="0" fontId="13" fillId="38" borderId="41" xfId="0" applyFont="1" applyFill="1" applyBorder="1" applyAlignment="1">
      <alignment horizontal="center"/>
    </xf>
    <xf numFmtId="0" fontId="13" fillId="38" borderId="39" xfId="0" applyFont="1" applyFill="1" applyBorder="1" applyAlignment="1">
      <alignment horizontal="center"/>
    </xf>
    <xf numFmtId="0" fontId="13" fillId="38" borderId="42" xfId="0" applyFont="1" applyFill="1" applyBorder="1" applyAlignment="1">
      <alignment horizontal="center"/>
    </xf>
    <xf numFmtId="0" fontId="31" fillId="42" borderId="33" xfId="0" applyFont="1" applyFill="1" applyBorder="1" applyAlignment="1">
      <alignment horizontal="center" vertical="center"/>
    </xf>
    <xf numFmtId="0" fontId="31" fillId="42" borderId="34" xfId="0" applyFont="1" applyFill="1" applyBorder="1" applyAlignment="1">
      <alignment horizontal="center" vertical="center"/>
    </xf>
    <xf numFmtId="0" fontId="31" fillId="42" borderId="36" xfId="0" applyFont="1" applyFill="1" applyBorder="1" applyAlignment="1">
      <alignment horizontal="center" vertical="center"/>
    </xf>
    <xf numFmtId="0" fontId="31" fillId="42" borderId="31" xfId="0" applyFont="1" applyFill="1" applyBorder="1" applyAlignment="1">
      <alignment horizontal="center" vertical="center"/>
    </xf>
    <xf numFmtId="0" fontId="31" fillId="42" borderId="0" xfId="0" applyFont="1" applyFill="1" applyBorder="1" applyAlignment="1">
      <alignment horizontal="center" vertical="center"/>
    </xf>
    <xf numFmtId="0" fontId="31" fillId="42" borderId="37" xfId="0" applyFont="1" applyFill="1" applyBorder="1" applyAlignment="1">
      <alignment horizontal="center" vertical="center"/>
    </xf>
    <xf numFmtId="0" fontId="31" fillId="42" borderId="35" xfId="0" applyFont="1" applyFill="1" applyBorder="1" applyAlignment="1">
      <alignment horizontal="center" vertical="center"/>
    </xf>
    <xf numFmtId="0" fontId="31" fillId="42" borderId="32" xfId="0" applyFont="1" applyFill="1" applyBorder="1" applyAlignment="1">
      <alignment horizontal="center" vertical="center"/>
    </xf>
    <xf numFmtId="0" fontId="31" fillId="42" borderId="38" xfId="0" applyFont="1" applyFill="1" applyBorder="1" applyAlignment="1">
      <alignment horizontal="center" vertical="center"/>
    </xf>
    <xf numFmtId="0" fontId="0" fillId="0" borderId="12" xfId="0" applyBorder="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3">
    <dxf>
      <fill>
        <patternFill>
          <bgColor rgb="FFF2F2F2"/>
        </patternFill>
      </fill>
    </dxf>
    <dxf>
      <font>
        <b val="0"/>
        <i val="0"/>
        <strike val="0"/>
        <condense val="0"/>
        <extend val="0"/>
        <outline val="0"/>
        <shadow val="0"/>
        <u val="none"/>
        <vertAlign val="baseline"/>
        <sz val="10"/>
        <color auto="1"/>
        <name val="Calibri"/>
        <family val="2"/>
        <scheme val="minor"/>
      </font>
      <numFmt numFmtId="2" formatCode="0.00"/>
      <fill>
        <patternFill patternType="solid">
          <fgColor indexed="64"/>
          <bgColor theme="0"/>
        </patternFill>
      </fill>
    </dxf>
    <dxf>
      <font>
        <strike val="0"/>
        <outline val="0"/>
        <shadow val="0"/>
        <u val="none"/>
        <vertAlign val="baseline"/>
        <color auto="1"/>
        <name val="Calibri"/>
        <family val="2"/>
        <scheme val="minor"/>
      </font>
      <fill>
        <patternFill patternType="solid">
          <fgColor indexed="64"/>
          <bgColor theme="0"/>
        </patternFill>
      </fill>
    </dxf>
    <dxf>
      <font>
        <strike val="0"/>
        <outline val="0"/>
        <shadow val="0"/>
        <u val="none"/>
        <vertAlign val="baseline"/>
        <color auto="1"/>
        <name val="Calibri"/>
        <family val="2"/>
        <scheme val="minor"/>
      </font>
      <fill>
        <patternFill patternType="solid">
          <fgColor indexed="64"/>
          <bgColor theme="0"/>
        </patternFill>
      </fill>
    </dxf>
    <dxf>
      <font>
        <strike val="0"/>
        <outline val="0"/>
        <shadow val="0"/>
        <u val="none"/>
        <vertAlign val="baseline"/>
        <color theme="0"/>
        <name val="Calibri"/>
        <family val="2"/>
        <scheme val="minor"/>
      </font>
      <fill>
        <patternFill patternType="solid">
          <fgColor indexed="64"/>
          <bgColor theme="0"/>
        </patternFill>
      </fill>
    </dxf>
    <dxf>
      <font>
        <strike val="0"/>
        <outline val="0"/>
        <shadow val="0"/>
        <u val="none"/>
        <vertAlign val="baseline"/>
        <color auto="1"/>
        <name val="Calibri"/>
        <family val="2"/>
        <scheme val="minor"/>
      </font>
      <numFmt numFmtId="2" formatCode="0.00"/>
      <fill>
        <patternFill patternType="solid">
          <fgColor indexed="64"/>
          <bgColor theme="0"/>
        </patternFill>
      </fill>
    </dxf>
    <dxf>
      <font>
        <b val="0"/>
        <i val="0"/>
        <strike val="0"/>
        <condense val="0"/>
        <extend val="0"/>
        <outline val="0"/>
        <shadow val="0"/>
        <u val="none"/>
        <vertAlign val="baseline"/>
        <sz val="10"/>
        <color auto="1"/>
        <name val="Calibri"/>
        <family val="2"/>
        <scheme val="minor"/>
      </font>
      <fill>
        <patternFill patternType="solid">
          <fgColor indexed="64"/>
          <bgColor theme="0"/>
        </patternFill>
      </fill>
    </dxf>
    <dxf>
      <font>
        <strike val="0"/>
        <outline val="0"/>
        <shadow val="0"/>
        <u val="none"/>
        <vertAlign val="baseline"/>
        <color auto="1"/>
        <name val="Calibri"/>
        <family val="2"/>
        <scheme val="minor"/>
      </font>
      <fill>
        <patternFill patternType="solid">
          <fgColor indexed="64"/>
          <bgColor theme="0"/>
        </patternFill>
      </fill>
    </dxf>
    <dxf>
      <font>
        <strike val="0"/>
        <outline val="0"/>
        <shadow val="0"/>
        <u val="none"/>
        <vertAlign val="baseline"/>
        <color auto="1"/>
        <name val="Calibri"/>
        <family val="2"/>
        <scheme val="minor"/>
      </font>
      <fill>
        <patternFill patternType="solid">
          <fgColor indexed="64"/>
          <bgColor theme="0"/>
        </patternFill>
      </fill>
    </dxf>
    <dxf>
      <font>
        <color rgb="FF1F3864"/>
      </font>
    </dxf>
    <dxf>
      <fill>
        <patternFill patternType="solid">
          <bgColor theme="3" tint="0.749992370372631"/>
        </patternFill>
      </fill>
    </dxf>
    <dxf>
      <font>
        <sz val="12"/>
      </font>
    </dxf>
    <dxf>
      <font>
        <sz val="12"/>
      </font>
    </dxf>
    <dxf>
      <font>
        <color theme="0"/>
      </font>
    </dxf>
    <dxf>
      <font>
        <color theme="0"/>
      </font>
    </dxf>
    <dxf>
      <fill>
        <patternFill patternType="solid">
          <bgColor rgb="FF1F3864"/>
        </patternFill>
      </fill>
    </dxf>
    <dxf>
      <fill>
        <patternFill patternType="solid">
          <bgColor rgb="FF1F3864"/>
        </patternFill>
      </fill>
    </dxf>
    <dxf>
      <font>
        <sz val="12"/>
      </font>
    </dxf>
    <dxf>
      <font>
        <sz val="12"/>
      </font>
    </dxf>
    <dxf>
      <font>
        <color rgb="FF1F3864"/>
      </font>
    </dxf>
    <dxf>
      <font>
        <color rgb="FF1F3864"/>
      </font>
    </dxf>
    <dxf>
      <fill>
        <patternFill patternType="solid">
          <bgColor theme="3" tint="0.749992370372631"/>
        </patternFill>
      </fill>
    </dxf>
    <dxf>
      <fill>
        <patternFill patternType="solid">
          <bgColor theme="3" tint="0.749992370372631"/>
        </patternFill>
      </fill>
    </dxf>
    <dxf>
      <font>
        <color theme="0"/>
      </font>
    </dxf>
    <dxf>
      <font>
        <color theme="0"/>
      </font>
    </dxf>
    <dxf>
      <fill>
        <patternFill patternType="solid">
          <bgColor rgb="FF1F3864"/>
        </patternFill>
      </fill>
    </dxf>
    <dxf>
      <fill>
        <patternFill patternType="solid">
          <bgColor rgb="FF1F3864"/>
        </patternFill>
      </fill>
    </dxf>
    <dxf>
      <numFmt numFmtId="2" formatCode="0.00"/>
    </dxf>
    <dxf>
      <alignment horizontal="center"/>
    </dxf>
    <dxf>
      <alignment horizontal="center"/>
    </dxf>
    <dxf>
      <alignment vertical="center"/>
    </dxf>
    <dxf>
      <alignment vertical="center"/>
    </dxf>
    <dxf>
      <font>
        <color rgb="FF1F3864"/>
      </font>
    </dxf>
    <dxf>
      <font>
        <color rgb="FF1F3864"/>
      </font>
    </dxf>
    <dxf>
      <fill>
        <patternFill>
          <bgColor theme="3" tint="0.749992370372631"/>
        </patternFill>
      </fill>
    </dxf>
    <dxf>
      <fill>
        <patternFill>
          <bgColor theme="3" tint="0.749992370372631"/>
        </patternFill>
      </fill>
    </dxf>
    <dxf>
      <fill>
        <patternFill patternType="solid">
          <bgColor rgb="FFFFFFFF"/>
        </patternFill>
      </fill>
    </dxf>
    <dxf>
      <fill>
        <patternFill patternType="solid">
          <bgColor rgb="FFFFFFFF"/>
        </patternFill>
      </fill>
    </dxf>
    <dxf>
      <font>
        <sz val="12"/>
      </font>
    </dxf>
    <dxf>
      <font>
        <sz val="12"/>
      </font>
    </dxf>
    <dxf>
      <alignment vertical="center"/>
    </dxf>
    <dxf>
      <alignment vertical="center"/>
    </dxf>
    <dxf>
      <alignment horizontal="center"/>
    </dxf>
    <dxf>
      <alignment horizontal="center"/>
    </dxf>
    <dxf>
      <font>
        <color theme="0"/>
      </font>
    </dxf>
    <dxf>
      <font>
        <color theme="0"/>
      </font>
    </dxf>
    <dxf>
      <fill>
        <patternFill patternType="solid">
          <bgColor rgb="FF1F3864"/>
        </patternFill>
      </fill>
    </dxf>
    <dxf>
      <fill>
        <patternFill patternType="solid">
          <bgColor rgb="FF1F3864"/>
        </patternFill>
      </fill>
    </dxf>
    <dxf>
      <numFmt numFmtId="2" formatCode="0.00"/>
    </dxf>
    <dxf>
      <alignment vertical="center"/>
    </dxf>
    <dxf>
      <alignment vertical="center"/>
    </dxf>
    <dxf>
      <alignment horizontal="center"/>
    </dxf>
    <dxf>
      <alignment horizontal="center"/>
    </dxf>
  </dxfs>
  <tableStyles count="0" defaultTableStyle="TableStyleMedium2" defaultPivotStyle="PivotStyleLight16"/>
  <colors>
    <mruColors>
      <color rgb="FF1F3864"/>
      <color rgb="FFD64545"/>
      <color rgb="FFC3640D"/>
      <color rgb="FFF8CBCB"/>
      <color rgb="FFEBF1FB"/>
      <color rgb="FFED9696"/>
      <color rgb="FFC00000"/>
      <color rgb="FF8B0000"/>
      <color rgb="FFF9E807"/>
      <color rgb="FFFF8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a:solidFill>
                  <a:srgbClr val="1F3864"/>
                </a:solidFill>
              </a:rPr>
              <a:t>Inventory Health by Cash Value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CHART_DATA!$B$2</c:f>
              <c:strCache>
                <c:ptCount val="1"/>
                <c:pt idx="0">
                  <c:v>Cash Value PKR</c:v>
                </c:pt>
              </c:strCache>
            </c:strRef>
          </c:tx>
          <c:spPr>
            <a:ln>
              <a:solidFill>
                <a:srgbClr val="1F3864"/>
              </a:solidFill>
            </a:ln>
          </c:spPr>
          <c:dPt>
            <c:idx val="0"/>
            <c:bubble3D val="0"/>
            <c:spPr>
              <a:solidFill>
                <a:srgbClr val="00B050"/>
              </a:solidFill>
              <a:ln w="19050">
                <a:solidFill>
                  <a:srgbClr val="1F3864"/>
                </a:solidFill>
              </a:ln>
              <a:effectLst/>
            </c:spPr>
            <c:extLst>
              <c:ext xmlns:c16="http://schemas.microsoft.com/office/drawing/2014/chart" uri="{C3380CC4-5D6E-409C-BE32-E72D297353CC}">
                <c16:uniqueId val="{00000004-6273-410E-ADD0-81C379059F1E}"/>
              </c:ext>
            </c:extLst>
          </c:dPt>
          <c:dPt>
            <c:idx val="1"/>
            <c:bubble3D val="0"/>
            <c:spPr>
              <a:solidFill>
                <a:srgbClr val="F9E807"/>
              </a:solidFill>
              <a:ln w="19050">
                <a:solidFill>
                  <a:srgbClr val="1F3864"/>
                </a:solidFill>
              </a:ln>
              <a:effectLst/>
            </c:spPr>
            <c:extLst>
              <c:ext xmlns:c16="http://schemas.microsoft.com/office/drawing/2014/chart" uri="{C3380CC4-5D6E-409C-BE32-E72D297353CC}">
                <c16:uniqueId val="{00000003-6273-410E-ADD0-81C379059F1E}"/>
              </c:ext>
            </c:extLst>
          </c:dPt>
          <c:dPt>
            <c:idx val="2"/>
            <c:bubble3D val="0"/>
            <c:spPr>
              <a:solidFill>
                <a:srgbClr val="FF8200"/>
              </a:solidFill>
              <a:ln w="19050">
                <a:solidFill>
                  <a:srgbClr val="1F3864"/>
                </a:solidFill>
              </a:ln>
              <a:effectLst/>
            </c:spPr>
            <c:extLst>
              <c:ext xmlns:c16="http://schemas.microsoft.com/office/drawing/2014/chart" uri="{C3380CC4-5D6E-409C-BE32-E72D297353CC}">
                <c16:uniqueId val="{00000002-6273-410E-ADD0-81C379059F1E}"/>
              </c:ext>
            </c:extLst>
          </c:dPt>
          <c:dPt>
            <c:idx val="3"/>
            <c:bubble3D val="0"/>
            <c:spPr>
              <a:solidFill>
                <a:srgbClr val="C00000"/>
              </a:solidFill>
              <a:ln w="19050">
                <a:solidFill>
                  <a:srgbClr val="1F3864"/>
                </a:solidFill>
              </a:ln>
              <a:effectLst/>
            </c:spPr>
            <c:extLst>
              <c:ext xmlns:c16="http://schemas.microsoft.com/office/drawing/2014/chart" uri="{C3380CC4-5D6E-409C-BE32-E72D297353CC}">
                <c16:uniqueId val="{00000001-6273-410E-ADD0-81C379059F1E}"/>
              </c:ext>
            </c:extLst>
          </c:dPt>
          <c:dPt>
            <c:idx val="4"/>
            <c:bubble3D val="0"/>
            <c:spPr>
              <a:solidFill>
                <a:srgbClr val="800000"/>
              </a:solidFill>
              <a:ln w="19050">
                <a:solidFill>
                  <a:srgbClr val="1F3864"/>
                </a:solidFill>
              </a:ln>
              <a:effectLst/>
            </c:spPr>
            <c:extLst>
              <c:ext xmlns:c16="http://schemas.microsoft.com/office/drawing/2014/chart" uri="{C3380CC4-5D6E-409C-BE32-E72D297353CC}">
                <c16:uniqueId val="{00000005-6273-410E-ADD0-81C379059F1E}"/>
              </c:ext>
            </c:extLst>
          </c:dPt>
          <c:dLbls>
            <c:dLbl>
              <c:idx val="0"/>
              <c:layout>
                <c:manualLayout>
                  <c:x val="5.5639858371269509E-2"/>
                  <c:y val="-7.67754318618042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273-410E-ADD0-81C379059F1E}"/>
                </c:ext>
              </c:extLst>
            </c:dLbl>
            <c:dLbl>
              <c:idx val="1"/>
              <c:layout>
                <c:manualLayout>
                  <c:x val="7.5872534142640363E-2"/>
                  <c:y val="-7.357645553422904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273-410E-ADD0-81C379059F1E}"/>
                </c:ext>
              </c:extLst>
            </c:dLbl>
            <c:dLbl>
              <c:idx val="2"/>
              <c:layout>
                <c:manualLayout>
                  <c:x val="3.9137695557096654E-2"/>
                  <c:y val="7.6457290409264272E-2"/>
                </c:manualLayout>
              </c:layout>
              <c:showLegendKey val="0"/>
              <c:showVal val="0"/>
              <c:showCatName val="1"/>
              <c:showSerName val="0"/>
              <c:showPercent val="1"/>
              <c:showBubbleSize val="0"/>
              <c:extLst>
                <c:ext xmlns:c15="http://schemas.microsoft.com/office/drawing/2012/chart" uri="{CE6537A1-D6FC-4f65-9D91-7224C49458BB}">
                  <c15:layout>
                    <c:manualLayout>
                      <c:w val="0.17992611323447258"/>
                      <c:h val="0.11614255100476176"/>
                    </c:manualLayout>
                  </c15:layout>
                </c:ext>
                <c:ext xmlns:c16="http://schemas.microsoft.com/office/drawing/2014/chart" uri="{C3380CC4-5D6E-409C-BE32-E72D297353CC}">
                  <c16:uniqueId val="{00000002-6273-410E-ADD0-81C379059F1E}"/>
                </c:ext>
              </c:extLst>
            </c:dLbl>
            <c:dLbl>
              <c:idx val="3"/>
              <c:layout>
                <c:manualLayout>
                  <c:x val="-3.0349013657056147E-2"/>
                  <c:y val="-9.916826615483045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273-410E-ADD0-81C379059F1E}"/>
                </c:ext>
              </c:extLst>
            </c:dLbl>
            <c:dLbl>
              <c:idx val="4"/>
              <c:layout>
                <c:manualLayout>
                  <c:x val="-4.5523520485584217E-2"/>
                  <c:y val="-7.03774792066538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273-410E-ADD0-81C379059F1E}"/>
                </c:ext>
              </c:extLst>
            </c:dLbl>
            <c:spPr>
              <a:solidFill>
                <a:sysClr val="window" lastClr="FFFFFF"/>
              </a:solidFill>
              <a:ln w="19050" cap="flat" cmpd="sng" algn="ctr">
                <a:solidFill>
                  <a:srgbClr val="156082"/>
                </a:solidFill>
                <a:prstDash val="solid"/>
                <a:miter lim="800000"/>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CHART_DATA!$A$3:$A$7</c:f>
              <c:strCache>
                <c:ptCount val="5"/>
                <c:pt idx="0">
                  <c:v>Active (0-30) days</c:v>
                </c:pt>
                <c:pt idx="1">
                  <c:v>Slow (31-60 Days)</c:v>
                </c:pt>
                <c:pt idx="2">
                  <c:v>At Risk (61-90 Days)</c:v>
                </c:pt>
                <c:pt idx="3">
                  <c:v>Dead (90+ Days)</c:v>
                </c:pt>
                <c:pt idx="4">
                  <c:v>Dead - No Sale</c:v>
                </c:pt>
              </c:strCache>
            </c:strRef>
          </c:cat>
          <c:val>
            <c:numRef>
              <c:f>CHART_DATA!$B$3:$B$7</c:f>
              <c:numCache>
                <c:formatCode>0.00</c:formatCode>
                <c:ptCount val="5"/>
                <c:pt idx="0">
                  <c:v>16593201.630000001</c:v>
                </c:pt>
                <c:pt idx="1">
                  <c:v>60001396.790000007</c:v>
                </c:pt>
                <c:pt idx="2">
                  <c:v>37183522.409999996</c:v>
                </c:pt>
                <c:pt idx="3">
                  <c:v>79522384.519999996</c:v>
                </c:pt>
                <c:pt idx="4">
                  <c:v>12151599.65</c:v>
                </c:pt>
              </c:numCache>
            </c:numRef>
          </c:val>
          <c:extLst>
            <c:ext xmlns:c16="http://schemas.microsoft.com/office/drawing/2014/chart" uri="{C3380CC4-5D6E-409C-BE32-E72D297353CC}">
              <c16:uniqueId val="{00000000-6273-410E-ADD0-81C379059F1E}"/>
            </c:ext>
          </c:extLst>
        </c:ser>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19050" cap="flat" cmpd="sng" algn="ctr">
      <a:solidFill>
        <a:srgbClr val="1F3864"/>
      </a:solidFill>
      <a:round/>
    </a:ln>
    <a:effectLst/>
  </c:spPr>
  <c:txPr>
    <a:bodyPr/>
    <a:lstStyle/>
    <a:p>
      <a:pPr>
        <a:defRPr b="1"/>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F3864"/>
                </a:solidFill>
                <a:latin typeface="+mn-lt"/>
                <a:ea typeface="+mn-ea"/>
                <a:cs typeface="+mn-cs"/>
              </a:defRPr>
            </a:pPr>
            <a:r>
              <a:rPr lang="en-US" b="1">
                <a:solidFill>
                  <a:srgbClr val="1F3864"/>
                </a:solidFill>
              </a:rPr>
              <a:t>Dead Stock Cash by Category (PKR)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F3864"/>
              </a:solidFill>
              <a:latin typeface="+mn-lt"/>
              <a:ea typeface="+mn-ea"/>
              <a:cs typeface="+mn-cs"/>
            </a:defRPr>
          </a:pPr>
          <a:endParaRPr lang="en-US"/>
        </a:p>
      </c:txPr>
    </c:title>
    <c:autoTitleDeleted val="0"/>
    <c:plotArea>
      <c:layout>
        <c:manualLayout>
          <c:layoutTarget val="inner"/>
          <c:xMode val="edge"/>
          <c:yMode val="edge"/>
          <c:x val="0.23704160115074138"/>
          <c:y val="0.10762313984945431"/>
          <c:w val="0.69433627832040123"/>
          <c:h val="0.75173138639928072"/>
        </c:manualLayout>
      </c:layout>
      <c:barChart>
        <c:barDir val="bar"/>
        <c:grouping val="clustered"/>
        <c:varyColors val="0"/>
        <c:ser>
          <c:idx val="0"/>
          <c:order val="0"/>
          <c:tx>
            <c:strRef>
              <c:f>CHART_DATA!$F$2</c:f>
              <c:strCache>
                <c:ptCount val="1"/>
                <c:pt idx="0">
                  <c:v>Dead Stock Cash PKR</c:v>
                </c:pt>
              </c:strCache>
            </c:strRef>
          </c:tx>
          <c:spPr>
            <a:solidFill>
              <a:srgbClr val="C00000"/>
            </a:solidFill>
            <a:ln w="15875">
              <a:solidFill>
                <a:schemeClr val="tx2"/>
              </a:solidFill>
            </a:ln>
            <a:effectLst/>
          </c:spPr>
          <c:invertIfNegative val="0"/>
          <c:dPt>
            <c:idx val="0"/>
            <c:invertIfNegative val="0"/>
            <c:bubble3D val="0"/>
            <c:spPr>
              <a:solidFill>
                <a:srgbClr val="8B0000"/>
              </a:solidFill>
              <a:ln w="15875">
                <a:solidFill>
                  <a:schemeClr val="tx2"/>
                </a:solidFill>
              </a:ln>
              <a:effectLst/>
            </c:spPr>
            <c:extLst>
              <c:ext xmlns:c16="http://schemas.microsoft.com/office/drawing/2014/chart" uri="{C3380CC4-5D6E-409C-BE32-E72D297353CC}">
                <c16:uniqueId val="{00000000-D54E-4C9E-B258-65D5A4DC5772}"/>
              </c:ext>
            </c:extLst>
          </c:dPt>
          <c:dPt>
            <c:idx val="2"/>
            <c:invertIfNegative val="0"/>
            <c:bubble3D val="0"/>
            <c:spPr>
              <a:solidFill>
                <a:srgbClr val="D64545"/>
              </a:solidFill>
              <a:ln w="15875">
                <a:solidFill>
                  <a:schemeClr val="tx2"/>
                </a:solidFill>
              </a:ln>
              <a:effectLst/>
            </c:spPr>
            <c:extLst>
              <c:ext xmlns:c16="http://schemas.microsoft.com/office/drawing/2014/chart" uri="{C3380CC4-5D6E-409C-BE32-E72D297353CC}">
                <c16:uniqueId val="{00000002-D54E-4C9E-B258-65D5A4DC5772}"/>
              </c:ext>
            </c:extLst>
          </c:dPt>
          <c:dPt>
            <c:idx val="3"/>
            <c:invertIfNegative val="0"/>
            <c:bubble3D val="0"/>
            <c:spPr>
              <a:solidFill>
                <a:srgbClr val="ED9696"/>
              </a:solidFill>
              <a:ln w="15875">
                <a:solidFill>
                  <a:schemeClr val="tx2"/>
                </a:solidFill>
              </a:ln>
              <a:effectLst/>
            </c:spPr>
            <c:extLst>
              <c:ext xmlns:c16="http://schemas.microsoft.com/office/drawing/2014/chart" uri="{C3380CC4-5D6E-409C-BE32-E72D297353CC}">
                <c16:uniqueId val="{00000003-D54E-4C9E-B258-65D5A4DC5772}"/>
              </c:ext>
            </c:extLst>
          </c:dPt>
          <c:dPt>
            <c:idx val="4"/>
            <c:invertIfNegative val="0"/>
            <c:bubble3D val="0"/>
            <c:spPr>
              <a:solidFill>
                <a:srgbClr val="F8CBCB"/>
              </a:solidFill>
              <a:ln w="15875">
                <a:solidFill>
                  <a:schemeClr val="tx2"/>
                </a:solidFill>
              </a:ln>
              <a:effectLst/>
            </c:spPr>
            <c:extLst>
              <c:ext xmlns:c16="http://schemas.microsoft.com/office/drawing/2014/chart" uri="{C3380CC4-5D6E-409C-BE32-E72D297353CC}">
                <c16:uniqueId val="{00000004-D54E-4C9E-B258-65D5A4DC5772}"/>
              </c:ext>
            </c:extLst>
          </c:dPt>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CHART_DATA!$E$3:$E$7</c:f>
              <c:strCache>
                <c:ptCount val="5"/>
                <c:pt idx="0">
                  <c:v>Home &amp; Kitchen</c:v>
                </c:pt>
                <c:pt idx="1">
                  <c:v>Clothing</c:v>
                </c:pt>
                <c:pt idx="2">
                  <c:v>Sports &amp; Outdoor</c:v>
                </c:pt>
                <c:pt idx="3">
                  <c:v>Electronics</c:v>
                </c:pt>
                <c:pt idx="4">
                  <c:v>Health &amp; Beauty</c:v>
                </c:pt>
              </c:strCache>
            </c:strRef>
          </c:cat>
          <c:val>
            <c:numRef>
              <c:f>CHART_DATA!$F$3:$F$7</c:f>
              <c:numCache>
                <c:formatCode>0.00</c:formatCode>
                <c:ptCount val="5"/>
                <c:pt idx="0">
                  <c:v>34149865.399999999</c:v>
                </c:pt>
                <c:pt idx="1">
                  <c:v>23450113.93</c:v>
                </c:pt>
                <c:pt idx="2">
                  <c:v>18155193.07</c:v>
                </c:pt>
                <c:pt idx="3">
                  <c:v>11047251.649999999</c:v>
                </c:pt>
                <c:pt idx="4">
                  <c:v>4871560.12</c:v>
                </c:pt>
              </c:numCache>
            </c:numRef>
          </c:val>
          <c:extLst>
            <c:ext xmlns:c16="http://schemas.microsoft.com/office/drawing/2014/chart" uri="{C3380CC4-5D6E-409C-BE32-E72D297353CC}">
              <c16:uniqueId val="{00000000-92E5-4085-84C4-68ADE44C35E2}"/>
            </c:ext>
          </c:extLst>
        </c:ser>
        <c:dLbls>
          <c:showLegendKey val="0"/>
          <c:showVal val="0"/>
          <c:showCatName val="0"/>
          <c:showSerName val="0"/>
          <c:showPercent val="0"/>
          <c:showBubbleSize val="0"/>
        </c:dLbls>
        <c:gapWidth val="80"/>
        <c:axId val="171450751"/>
        <c:axId val="171450271"/>
      </c:barChart>
      <c:catAx>
        <c:axId val="1714507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71450271"/>
        <c:crosses val="autoZero"/>
        <c:auto val="1"/>
        <c:lblAlgn val="ctr"/>
        <c:lblOffset val="100"/>
        <c:noMultiLvlLbl val="0"/>
      </c:catAx>
      <c:valAx>
        <c:axId val="171450271"/>
        <c:scaling>
          <c:orientation val="minMax"/>
        </c:scaling>
        <c:delete val="1"/>
        <c:axPos val="b"/>
        <c:majorGridlines>
          <c:spPr>
            <a:ln w="9525" cap="flat" cmpd="sng" algn="ctr">
              <a:solidFill>
                <a:schemeClr val="bg2">
                  <a:lumMod val="7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i="1">
                    <a:solidFill>
                      <a:schemeClr val="bg2">
                        <a:lumMod val="50000"/>
                      </a:schemeClr>
                    </a:solidFill>
                  </a:rPr>
                  <a:t>Note: Darker red indicates higher cash urgency</a:t>
                </a:r>
              </a:p>
            </c:rich>
          </c:tx>
          <c:layout>
            <c:manualLayout>
              <c:xMode val="edge"/>
              <c:yMode val="edge"/>
              <c:x val="3.1852700000318951E-2"/>
              <c:y val="0.933593734250960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crossAx val="171450751"/>
        <c:crosses val="autoZero"/>
        <c:crossBetween val="between"/>
      </c:valAx>
      <c:spPr>
        <a:noFill/>
        <a:ln>
          <a:solidFill>
            <a:schemeClr val="bg2">
              <a:lumMod val="90000"/>
            </a:schemeClr>
          </a:solidFill>
        </a:ln>
        <a:effectLst/>
      </c:spPr>
    </c:plotArea>
    <c:plotVisOnly val="1"/>
    <c:dispBlanksAs val="gap"/>
    <c:showDLblsOverMax val="0"/>
  </c:chart>
  <c:spPr>
    <a:solidFill>
      <a:srgbClr val="FFFFFF"/>
    </a:solidFill>
    <a:ln w="19050" cap="flat" cmpd="sng" algn="ctr">
      <a:solidFill>
        <a:srgbClr val="1F3864"/>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15085</xdr:colOff>
      <xdr:row>9</xdr:row>
      <xdr:rowOff>166481</xdr:rowOff>
    </xdr:from>
    <xdr:to>
      <xdr:col>9</xdr:col>
      <xdr:colOff>30325</xdr:colOff>
      <xdr:row>27</xdr:row>
      <xdr:rowOff>21701</xdr:rowOff>
    </xdr:to>
    <xdr:graphicFrame macro="">
      <xdr:nvGraphicFramePr>
        <xdr:cNvPr id="2" name="Chart 1">
          <a:extLst>
            <a:ext uri="{FF2B5EF4-FFF2-40B4-BE49-F238E27FC236}">
              <a16:creationId xmlns:a16="http://schemas.microsoft.com/office/drawing/2014/main" id="{981B44E5-F09C-1955-2E16-EEA26CD756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187730</xdr:colOff>
      <xdr:row>9</xdr:row>
      <xdr:rowOff>187037</xdr:rowOff>
    </xdr:from>
    <xdr:to>
      <xdr:col>19</xdr:col>
      <xdr:colOff>7482</xdr:colOff>
      <xdr:row>27</xdr:row>
      <xdr:rowOff>40733</xdr:rowOff>
    </xdr:to>
    <xdr:graphicFrame macro="">
      <xdr:nvGraphicFramePr>
        <xdr:cNvPr id="3" name="Chart 2">
          <a:extLst>
            <a:ext uri="{FF2B5EF4-FFF2-40B4-BE49-F238E27FC236}">
              <a16:creationId xmlns:a16="http://schemas.microsoft.com/office/drawing/2014/main" id="{E671FC23-A97C-1908-5E59-27F15DD59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das Memon" refreshedDate="46171.646630439813" createdVersion="8" refreshedVersion="8" minRefreshableVersion="3" recordCount="75" xr:uid="{CE48E313-FC96-4306-AAB8-00834229089D}">
  <cacheSource type="worksheet">
    <worksheetSource ref="A3:O78" sheet="ANALYSIS"/>
  </cacheSource>
  <cacheFields count="15">
    <cacheField name="SKU" numFmtId="49">
      <sharedItems/>
    </cacheField>
    <cacheField name="Product_Name" numFmtId="0">
      <sharedItems count="75">
        <s v="Electric Kettle 1.7L"/>
        <s v="Multivitamin 60 Tabs"/>
        <s v="Nail Kit Manicure"/>
        <s v="Tennis Ball Pack 3"/>
        <s v="Zip Hoodie"/>
        <s v="Socks 6-pack"/>
        <s v="Dash Cam"/>
        <s v="Face Wash Neem"/>
        <s v="Rice Cooker 1.8L"/>
        <s v="Face Moisturizer SPF30"/>
        <s v="Badminton Racket Set"/>
        <s v="Power Bank 20000mAh"/>
        <s v="USB-C Hub"/>
        <s v="Collagen Supplement"/>
        <s v="Pressure Cooker 5L"/>
        <s v="Webcam HD 1080p"/>
        <s v="Yoga Mat 6mm"/>
        <s v="Router WiFi 6"/>
        <s v="Water Filter Jug"/>
        <s v="Bluetooth Speaker"/>
        <s v="Thermal Underwear"/>
        <s v="Knife Set 5pc"/>
        <s v="Women Kurta Embroidered"/>
        <s v="Men Polo Shirt"/>
        <s v="Football Size 5 Official"/>
        <s v="Beard Oil 50ml"/>
        <s v="Dumbbell 5kg Pair"/>
        <s v="Skipping Counter"/>
        <s v="Hair Growth Oil"/>
        <s v="Food Storage Containers"/>
        <s v="Formal Trousers"/>
        <s v="Gaming Mouse"/>
        <s v="Blender 600W"/>
        <s v="Smart Plug 4-pack"/>
        <s v="Baseball Cap"/>
        <s v="Speed Jump Rope"/>
        <s v="Lip Balm SPF Pack"/>
        <s v="Non-Stick Pan Set 3pc"/>
        <s v="Running Shoes Size 42"/>
        <s v="Induction Cooker"/>
        <s v="Gym Shorts"/>
        <s v="Slim Denim Jeans"/>
        <s v="Water Bottle 1L Steel"/>
        <s v="Shampoo Argan 400ml"/>
        <s v="Gym Gloves Large"/>
        <s v="Resistance Bands Set 5"/>
        <s v="Laptop Stand"/>
        <s v="Cricket Bat Kashmir"/>
        <s v="Smart Watch"/>
        <s v="Chopping Board Set"/>
        <s v="Coffee Maker Drip"/>
        <s v="Protein Powder 1kg"/>
        <s v="Winter Jacket Fleece"/>
        <s v="Vitamin C Serum 30ml"/>
        <s v="Leather Belt Brown"/>
        <s v="Foam Roller"/>
        <s v="HDMI Cable 2m"/>
        <s v="Sports T-Shirt"/>
        <s v="Eyelash Serum"/>
        <s v="Body Lotion 250ml"/>
        <s v="Electric Toothbrush"/>
        <s v="Rain Coat"/>
        <s v="Phone Tripod"/>
        <s v="Wireless Earbuds"/>
        <s v="Ankle Weights 2kg"/>
        <s v="Mechanical Keyboard"/>
        <s v="Sunscreen SPF50"/>
        <s v="Pull-up Bar Doorway"/>
        <s v="Casual Sneakers"/>
        <s v="LED TV 32 inch"/>
        <s v="Mixing Bowls Set"/>
        <s v="Vegetable Steamer"/>
        <s v="Toaster 2-Slice"/>
        <s v="Dinner Set 24pc"/>
        <s v="Summer Dress Floral"/>
      </sharedItems>
    </cacheField>
    <cacheField name="Category" numFmtId="0">
      <sharedItems count="5">
        <s v="Home &amp; Kitchen"/>
        <s v="Health &amp; Beauty"/>
        <s v="Sports &amp; Outdoor"/>
        <s v="Clothing"/>
        <s v="Electronics"/>
      </sharedItems>
    </cacheField>
    <cacheField name="Quantity_On_Hand" numFmtId="1">
      <sharedItems containsSemiMixedTypes="0" containsString="0" containsNumber="1" containsInteger="1" minValue="-20" maxValue="600"/>
    </cacheField>
    <cacheField name="Cost_Price_PKR" numFmtId="2">
      <sharedItems containsSemiMixedTypes="0" containsString="0" containsNumber="1" minValue="415.26" maxValue="17657.599999999999"/>
    </cacheField>
    <cacheField name="Selling_Price_PKR" numFmtId="2">
      <sharedItems containsSemiMixedTypes="0" containsString="0" containsNumber="1" minValue="631.08000000000004" maxValue="46675.83"/>
    </cacheField>
    <cacheField name="Last_Sale_Date" numFmtId="164">
      <sharedItems containsSemiMixedTypes="0" containsNonDate="0" containsDate="1" containsString="0" minDate="2020-01-01T00:00:00" maxDate="2025-05-04T00:00:00"/>
    </cacheField>
    <cacheField name="Days_Since_Last_Sale" numFmtId="1">
      <sharedItems containsMixedTypes="1" containsNumber="1" containsInteger="1" minValue="7" maxValue="421"/>
    </cacheField>
    <cacheField name="Aging_Bucket" numFmtId="0">
      <sharedItems count="5">
        <s v="🔴 Dead (90+ Days)"/>
        <s v="🔴 Dead - No Sale"/>
        <s v="🟠 Slow (31-60 Days)"/>
        <s v="🟢 Active (0-30 Days)"/>
        <s v="🟡 At Risk (61-90 Days)"/>
      </sharedItems>
    </cacheField>
    <cacheField name="Cash_Tied_Up_PKR" numFmtId="1">
      <sharedItems containsSemiMixedTypes="0" containsString="0" containsNumber="1" minValue="0" maxValue="10328695.65"/>
    </cacheField>
    <cacheField name="Turnover_Ratio" numFmtId="2">
      <sharedItems containsSemiMixedTypes="0" containsString="0" containsNumber="1" minValue="0" maxValue="3.3"/>
    </cacheField>
    <cacheField name="Reorder_Status" numFmtId="0">
      <sharedItems/>
    </cacheField>
    <cacheField name="Last_Sale_Flag" numFmtId="0">
      <sharedItems/>
    </cacheField>
    <cacheField name="Quantity_Flag" numFmtId="0">
      <sharedItems/>
    </cacheField>
    <cacheField name="Margin_Flag"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s v="SKU-5035"/>
    <x v="0"/>
    <x v="0"/>
    <n v="125"/>
    <n v="11240.84"/>
    <n v="21532.76"/>
    <d v="2025-01-16T00:00:00"/>
    <n v="114"/>
    <x v="0"/>
    <n v="1405105"/>
    <n v="0.216"/>
    <s v="⚠️ Below Reorder Point - Restock Now"/>
    <s v="OK"/>
    <s v="OK"/>
    <s v="OK"/>
  </r>
  <r>
    <s v="SKU-5050"/>
    <x v="1"/>
    <x v="1"/>
    <n v="266"/>
    <n v="13724.92"/>
    <n v="10571.67"/>
    <d v="2020-01-01T00:00:00"/>
    <s v="No Sale Record"/>
    <x v="1"/>
    <n v="3650828.72"/>
    <n v="0.36842105263157893"/>
    <s v="✅ Stock Level OK"/>
    <s v="NO SALE RECORDED"/>
    <s v="OK"/>
    <s v="SELLING AT LOSS - REVIEW PRICING"/>
  </r>
  <r>
    <s v="SKU-5057"/>
    <x v="2"/>
    <x v="1"/>
    <n v="108"/>
    <n v="5279.72"/>
    <n v="6714.94"/>
    <d v="2025-03-29T00:00:00"/>
    <n v="42"/>
    <x v="2"/>
    <n v="570209.76"/>
    <n v="0.83333333333333337"/>
    <s v="⚠️ Below Reorder Point - Restock Now"/>
    <s v="OK"/>
    <s v="OK"/>
    <s v="OK"/>
  </r>
  <r>
    <s v="SKU-5070"/>
    <x v="3"/>
    <x v="2"/>
    <n v="316"/>
    <n v="13131.29"/>
    <n v="29242.82"/>
    <d v="2025-01-04T00:00:00"/>
    <n v="126"/>
    <x v="0"/>
    <n v="4149487.64"/>
    <n v="9.4936708860759497E-3"/>
    <s v="📦 Overstocked &amp; Dead"/>
    <s v="OK"/>
    <s v="OK"/>
    <s v="OK"/>
  </r>
  <r>
    <s v="SKU-5024"/>
    <x v="4"/>
    <x v="3"/>
    <n v="119"/>
    <n v="3337.44"/>
    <n v="5226.38"/>
    <d v="2025-04-19T00:00:00"/>
    <n v="21"/>
    <x v="3"/>
    <n v="397155.36"/>
    <n v="0.36974789915966388"/>
    <s v="⚠️ Below Reorder Point - Restock Now"/>
    <s v="OK"/>
    <s v="OK"/>
    <s v="OK"/>
  </r>
  <r>
    <s v="SKU-5025"/>
    <x v="5"/>
    <x v="3"/>
    <n v="209"/>
    <n v="9430.58"/>
    <n v="21444.38"/>
    <d v="2025-04-27T00:00:00"/>
    <n v="13"/>
    <x v="3"/>
    <n v="1970991.22"/>
    <n v="3.8277511961722487E-2"/>
    <s v="✅ Stock Level OK"/>
    <s v="OK"/>
    <s v="OK"/>
    <s v="OK"/>
  </r>
  <r>
    <s v="SKU-5014"/>
    <x v="6"/>
    <x v="4"/>
    <n v="10"/>
    <n v="15584.01"/>
    <n v="21764.48"/>
    <d v="2025-03-22T00:00:00"/>
    <n v="49"/>
    <x v="2"/>
    <n v="155840.1"/>
    <n v="3.3"/>
    <s v="⚠️ Below Reorder Point - Restock Now"/>
    <s v="OK"/>
    <s v="OK"/>
    <s v="OK"/>
  </r>
  <r>
    <s v="SKU-5055"/>
    <x v="7"/>
    <x v="1"/>
    <n v="522"/>
    <n v="17657.599999999999"/>
    <n v="20874.689999999999"/>
    <d v="2025-04-07T00:00:00"/>
    <n v="33"/>
    <x v="2"/>
    <n v="9217267.1999999993"/>
    <n v="8.0459770114942528E-2"/>
    <s v="✅ Stock Level OK"/>
    <s v="OK"/>
    <s v="OK"/>
    <s v="OK"/>
  </r>
  <r>
    <s v="SKU-5037"/>
    <x v="8"/>
    <x v="0"/>
    <n v="78"/>
    <n v="883.08"/>
    <n v="1970.47"/>
    <d v="2025-04-02T00:00:00"/>
    <n v="38"/>
    <x v="2"/>
    <n v="68880.240000000005"/>
    <n v="0.55128205128205132"/>
    <s v="✅ Stock Level OK"/>
    <s v="OK"/>
    <s v="OK"/>
    <s v="OK"/>
  </r>
  <r>
    <s v="SKU-5045"/>
    <x v="9"/>
    <x v="1"/>
    <n v="109"/>
    <n v="5601.04"/>
    <n v="12009.64"/>
    <d v="2025-04-14T00:00:00"/>
    <n v="26"/>
    <x v="3"/>
    <n v="610513.36"/>
    <n v="0.23853211009174313"/>
    <s v="✅ Stock Level OK"/>
    <s v="OK"/>
    <s v="OK"/>
    <s v="OK"/>
  </r>
  <r>
    <s v="SKU-5067"/>
    <x v="10"/>
    <x v="2"/>
    <n v="101"/>
    <n v="17432.490000000002"/>
    <n v="43662.13"/>
    <d v="2025-02-20T00:00:00"/>
    <n v="79"/>
    <x v="4"/>
    <n v="1760681.4900000002"/>
    <n v="0.81188118811881194"/>
    <s v="✅ Stock Level OK"/>
    <s v="OK"/>
    <s v="OK"/>
    <s v="OK"/>
  </r>
  <r>
    <s v="SKU-5004"/>
    <x v="11"/>
    <x v="4"/>
    <n v="578"/>
    <n v="8401.34"/>
    <n v="22470.7"/>
    <d v="2020-01-01T00:00:00"/>
    <s v="No Sale Record"/>
    <x v="1"/>
    <n v="4855974.5200000005"/>
    <n v="7.0934256055363326E-2"/>
    <s v="📦 Overstocked &amp; Dead"/>
    <s v="NO SALE RECORDED"/>
    <s v="OK"/>
    <s v="OK"/>
  </r>
  <r>
    <s v="SKU-5002"/>
    <x v="12"/>
    <x v="4"/>
    <n v="557"/>
    <n v="10926.51"/>
    <n v="25633.040000000001"/>
    <d v="2025-02-15T00:00:00"/>
    <n v="84"/>
    <x v="4"/>
    <n v="6086066.0700000003"/>
    <n v="0.2118491921005386"/>
    <s v="✅ Stock Level OK"/>
    <s v="OK"/>
    <s v="OK"/>
    <s v="OK"/>
  </r>
  <r>
    <s v="SKU-5059"/>
    <x v="13"/>
    <x v="1"/>
    <n v="567"/>
    <n v="16195.52"/>
    <n v="25965"/>
    <d v="2025-02-26T00:00:00"/>
    <n v="73"/>
    <x v="4"/>
    <n v="9182859.8399999999"/>
    <n v="9.8765432098765427E-2"/>
    <s v="✅ Stock Level OK"/>
    <s v="OK"/>
    <s v="OK"/>
    <s v="OK"/>
  </r>
  <r>
    <s v="SKU-5030"/>
    <x v="14"/>
    <x v="0"/>
    <n v="291"/>
    <n v="8183.75"/>
    <n v="20712.82"/>
    <d v="2024-05-28T00:00:00"/>
    <n v="347"/>
    <x v="0"/>
    <n v="2381471.25"/>
    <n v="0.22680412371134021"/>
    <s v="📦 Overstocked &amp; Dead"/>
    <s v="OK"/>
    <s v="OK"/>
    <s v="OK"/>
  </r>
  <r>
    <s v="SKU-5006"/>
    <x v="15"/>
    <x v="4"/>
    <n v="120"/>
    <n v="9245.0400000000009"/>
    <n v="11086.24"/>
    <d v="2024-11-17T00:00:00"/>
    <n v="174"/>
    <x v="0"/>
    <n v="1109404.8"/>
    <n v="0.16666666666666666"/>
    <s v="⚠️ Below Reorder Point - Restock Now"/>
    <s v="OK"/>
    <s v="OK"/>
    <s v="OK"/>
  </r>
  <r>
    <s v="SKU-5060"/>
    <x v="16"/>
    <x v="2"/>
    <n v="596"/>
    <n v="8775.26"/>
    <n v="18259.830000000002"/>
    <d v="2025-03-31T00:00:00"/>
    <n v="40"/>
    <x v="2"/>
    <n v="5230054.96"/>
    <n v="0.14932885906040269"/>
    <s v="✅ Stock Level OK"/>
    <s v="OK"/>
    <s v="OK"/>
    <s v="OK"/>
  </r>
  <r>
    <s v="SKU-5012"/>
    <x v="17"/>
    <x v="4"/>
    <n v="441"/>
    <n v="3548.82"/>
    <n v="6544.61"/>
    <d v="2025-03-15T00:00:00"/>
    <n v="56"/>
    <x v="2"/>
    <n v="1565029.62"/>
    <n v="0.24943310657596371"/>
    <s v="✅ Stock Level OK"/>
    <s v="OK"/>
    <s v="OK"/>
    <s v="OK"/>
  </r>
  <r>
    <s v="SKU-5033"/>
    <x v="18"/>
    <x v="0"/>
    <n v="585"/>
    <n v="17655.89"/>
    <n v="46675.83"/>
    <d v="2025-03-24T00:00:00"/>
    <n v="47"/>
    <x v="2"/>
    <n v="10328695.65"/>
    <n v="1.7094017094017096E-2"/>
    <s v="✅ Stock Level OK"/>
    <s v="OK"/>
    <s v="OK"/>
    <s v="OK"/>
  </r>
  <r>
    <s v="SKU-5001"/>
    <x v="19"/>
    <x v="4"/>
    <n v="14"/>
    <n v="7638.43"/>
    <n v="12124.94"/>
    <d v="2024-04-22T00:00:00"/>
    <n v="383"/>
    <x v="0"/>
    <n v="106938.02"/>
    <n v="1.4285714285714286"/>
    <s v="⚠️ Below Reorder Point - Restock Now"/>
    <s v="OK"/>
    <s v="OK"/>
    <s v="OK"/>
  </r>
  <r>
    <s v="SKU-5029"/>
    <x v="20"/>
    <x v="3"/>
    <n v="132"/>
    <n v="8442.2199999999993"/>
    <n v="22467.7"/>
    <d v="2024-05-06T00:00:00"/>
    <n v="369"/>
    <x v="0"/>
    <n v="1114373.0399999998"/>
    <n v="0.77272727272727271"/>
    <s v="⚠️ Below Reorder Point - Restock Now"/>
    <s v="OK"/>
    <s v="OK"/>
    <s v="OK"/>
  </r>
  <r>
    <s v="SKU-5040"/>
    <x v="21"/>
    <x v="0"/>
    <n v="510"/>
    <n v="8871.11"/>
    <n v="20228.12"/>
    <d v="2024-07-02T00:00:00"/>
    <n v="312"/>
    <x v="0"/>
    <n v="4524266.1000000006"/>
    <n v="3.9215686274509803E-3"/>
    <s v="📦 Overstocked &amp; Dead"/>
    <s v="OK"/>
    <s v="OK"/>
    <s v="OK"/>
  </r>
  <r>
    <s v="SKU-5016"/>
    <x v="22"/>
    <x v="3"/>
    <n v="600"/>
    <n v="7357.39"/>
    <n v="15281.7"/>
    <d v="2024-09-28T00:00:00"/>
    <n v="224"/>
    <x v="0"/>
    <n v="4414434"/>
    <n v="0.13166666666666665"/>
    <s v="📦 Overstocked &amp; Dead"/>
    <s v="OK"/>
    <s v="OK"/>
    <s v="OK"/>
  </r>
  <r>
    <s v="SKU-5015"/>
    <x v="23"/>
    <x v="3"/>
    <n v="329"/>
    <n v="1193.93"/>
    <n v="1459.47"/>
    <d v="2025-01-27T00:00:00"/>
    <n v="103"/>
    <x v="0"/>
    <n v="392802.97000000003"/>
    <n v="0.22492401215805471"/>
    <s v="✅ Stock Level OK"/>
    <s v="OK"/>
    <s v="OK"/>
    <s v="OK"/>
  </r>
  <r>
    <s v="SKU-5069"/>
    <x v="24"/>
    <x v="2"/>
    <n v="-9"/>
    <n v="415.26"/>
    <n v="631.08000000000004"/>
    <d v="2025-04-23T00:00:00"/>
    <n v="17"/>
    <x v="3"/>
    <n v="0"/>
    <n v="0"/>
    <s v="Data Error"/>
    <s v="OK"/>
    <s v="NEGATIVE QTY - DATA ERROR"/>
    <s v="OK"/>
  </r>
  <r>
    <s v="SKU-5056"/>
    <x v="25"/>
    <x v="1"/>
    <n v="415"/>
    <n v="1485.68"/>
    <n v="2325.44"/>
    <d v="2025-04-23T00:00:00"/>
    <n v="17"/>
    <x v="3"/>
    <n v="616557.20000000007"/>
    <n v="0.26265060240963856"/>
    <s v="✅ Stock Level OK"/>
    <s v="OK"/>
    <s v="OK"/>
    <s v="OK"/>
  </r>
  <r>
    <s v="SKU-5062"/>
    <x v="26"/>
    <x v="2"/>
    <n v="187"/>
    <n v="1758.88"/>
    <n v="4178.6899999999996"/>
    <d v="2025-02-22T00:00:00"/>
    <n v="77"/>
    <x v="4"/>
    <n v="328910.56"/>
    <n v="0.53475935828877008"/>
    <s v="✅ Stock Level OK"/>
    <s v="OK"/>
    <s v="OK"/>
    <s v="OK"/>
  </r>
  <r>
    <s v="SKU-5071"/>
    <x v="27"/>
    <x v="2"/>
    <n v="569"/>
    <n v="1322.43"/>
    <n v="2887.62"/>
    <d v="2024-11-12T00:00:00"/>
    <n v="179"/>
    <x v="0"/>
    <n v="752462.67"/>
    <n v="8.43585237258348E-2"/>
    <s v="📦 Overstocked &amp; Dead"/>
    <s v="OK"/>
    <s v="OK"/>
    <s v="OK"/>
  </r>
  <r>
    <s v="SKU-5047"/>
    <x v="28"/>
    <x v="1"/>
    <n v="69"/>
    <n v="2809.46"/>
    <n v="3817.94"/>
    <d v="2025-03-08T00:00:00"/>
    <n v="63"/>
    <x v="4"/>
    <n v="193852.74"/>
    <n v="0.56521739130434778"/>
    <s v="⚠️ Below Reorder Point - Restock Now"/>
    <s v="OK"/>
    <s v="OK"/>
    <s v="OK"/>
  </r>
  <r>
    <s v="SKU-5041"/>
    <x v="29"/>
    <x v="0"/>
    <n v="265"/>
    <n v="6054.62"/>
    <n v="9536.8700000000008"/>
    <d v="2025-04-10T00:00:00"/>
    <n v="30"/>
    <x v="3"/>
    <n v="1604474.3"/>
    <n v="0.3471698113207547"/>
    <s v="✅ Stock Level OK"/>
    <s v="OK"/>
    <s v="OK"/>
    <s v="OK"/>
  </r>
  <r>
    <s v="SKU-5022"/>
    <x v="30"/>
    <x v="3"/>
    <n v="262"/>
    <n v="16765.060000000001"/>
    <n v="43113.49"/>
    <d v="2024-03-15T00:00:00"/>
    <n v="421"/>
    <x v="0"/>
    <n v="4392445.7200000007"/>
    <n v="0.38167938931297712"/>
    <s v="📦 Overstocked &amp; Dead"/>
    <s v="OK"/>
    <s v="OK"/>
    <s v="OK"/>
  </r>
  <r>
    <s v="SKU-5007"/>
    <x v="31"/>
    <x v="4"/>
    <n v="356"/>
    <n v="15943.47"/>
    <n v="38443.629999999997"/>
    <d v="2025-04-06T00:00:00"/>
    <n v="34"/>
    <x v="2"/>
    <n v="5675875.3199999994"/>
    <n v="0.1544943820224719"/>
    <s v="✅ Stock Level OK"/>
    <s v="OK"/>
    <s v="OK"/>
    <s v="OK"/>
  </r>
  <r>
    <s v="SKU-5032"/>
    <x v="32"/>
    <x v="0"/>
    <n v="437"/>
    <n v="5480.24"/>
    <n v="14347.04"/>
    <d v="2024-07-30T00:00:00"/>
    <n v="284"/>
    <x v="0"/>
    <n v="2394864.88"/>
    <n v="0.21510297482837529"/>
    <s v="📦 Overstocked &amp; Dead"/>
    <s v="OK"/>
    <s v="OK"/>
    <s v="OK"/>
  </r>
  <r>
    <s v="SKU-5000"/>
    <x v="33"/>
    <x v="4"/>
    <n v="263"/>
    <n v="8157.75"/>
    <n v="12954.15"/>
    <d v="2020-01-01T00:00:00"/>
    <s v="No Sale Record"/>
    <x v="1"/>
    <n v="2145488.25"/>
    <n v="3.4220532319391636E-2"/>
    <s v="📦 Overstocked &amp; Dead"/>
    <s v="NO SALE RECORDED"/>
    <s v="OK"/>
    <s v="OK"/>
  </r>
  <r>
    <s v="SKU-5026"/>
    <x v="34"/>
    <x v="3"/>
    <n v="396"/>
    <n v="10046.26"/>
    <n v="22474.3"/>
    <d v="2025-02-17T00:00:00"/>
    <n v="82"/>
    <x v="4"/>
    <n v="3978318.96"/>
    <n v="0.29040404040404039"/>
    <s v="✅ Stock Level OK"/>
    <s v="OK"/>
    <s v="OK"/>
    <s v="OK"/>
  </r>
  <r>
    <s v="SKU-5063"/>
    <x v="35"/>
    <x v="2"/>
    <n v="239"/>
    <n v="2205.7800000000002"/>
    <n v="2992.08"/>
    <d v="2025-04-02T00:00:00"/>
    <n v="38"/>
    <x v="2"/>
    <n v="527181.42000000004"/>
    <n v="0.38493723849372385"/>
    <s v="✅ Stock Level OK"/>
    <s v="OK"/>
    <s v="OK"/>
    <s v="OK"/>
  </r>
  <r>
    <s v="SKU-5054"/>
    <x v="36"/>
    <x v="1"/>
    <n v="337"/>
    <n v="6084.05"/>
    <n v="10669.68"/>
    <d v="2025-03-17T00:00:00"/>
    <n v="54"/>
    <x v="2"/>
    <n v="2050324.85"/>
    <n v="0.26409495548961426"/>
    <s v="✅ Stock Level OK"/>
    <s v="OK"/>
    <s v="OK"/>
    <s v="OK"/>
  </r>
  <r>
    <s v="SKU-5031"/>
    <x v="37"/>
    <x v="0"/>
    <n v="425"/>
    <n v="12537"/>
    <n v="15394.24"/>
    <d v="2024-07-14T00:00:00"/>
    <n v="300"/>
    <x v="0"/>
    <n v="5328225"/>
    <n v="0.13882352941176471"/>
    <s v="📦 Overstocked &amp; Dead"/>
    <s v="OK"/>
    <s v="OK"/>
    <s v="OK"/>
  </r>
  <r>
    <s v="SKU-5066"/>
    <x v="38"/>
    <x v="2"/>
    <n v="294"/>
    <n v="15031.42"/>
    <n v="40548.9"/>
    <d v="2025-02-23T00:00:00"/>
    <n v="76"/>
    <x v="4"/>
    <n v="4419237.4800000004"/>
    <n v="0.1598639455782313"/>
    <s v="✅ Stock Level OK"/>
    <s v="OK"/>
    <s v="OK"/>
    <s v="OK"/>
  </r>
  <r>
    <s v="SKU-5042"/>
    <x v="39"/>
    <x v="0"/>
    <n v="206"/>
    <n v="9514.77"/>
    <n v="12263.43"/>
    <d v="2025-04-03T00:00:00"/>
    <n v="37"/>
    <x v="2"/>
    <n v="1960042.62"/>
    <n v="0.22330097087378642"/>
    <s v="✅ Stock Level OK"/>
    <s v="OK"/>
    <s v="OK"/>
    <s v="OK"/>
  </r>
  <r>
    <s v="SKU-5028"/>
    <x v="40"/>
    <x v="3"/>
    <n v="597"/>
    <n v="11061.24"/>
    <n v="20851.53"/>
    <d v="2024-05-28T00:00:00"/>
    <n v="347"/>
    <x v="0"/>
    <n v="6603560.2800000003"/>
    <n v="0.1490787269681742"/>
    <s v="📦 Overstocked &amp; Dead"/>
    <s v="OK"/>
    <s v="OK"/>
    <s v="OK"/>
  </r>
  <r>
    <s v="SKU-5017"/>
    <x v="41"/>
    <x v="3"/>
    <n v="-20"/>
    <n v="11672.19"/>
    <n v="31290.23"/>
    <d v="2025-02-05T00:00:00"/>
    <n v="94"/>
    <x v="0"/>
    <n v="0"/>
    <n v="0"/>
    <s v="Data Error"/>
    <s v="OK"/>
    <s v="NEGATIVE QTY - DATA ERROR"/>
    <s v="OK"/>
  </r>
  <r>
    <s v="SKU-5064"/>
    <x v="42"/>
    <x v="2"/>
    <n v="388"/>
    <n v="12159.99"/>
    <n v="25561.040000000001"/>
    <d v="2024-07-22T00:00:00"/>
    <n v="292"/>
    <x v="0"/>
    <n v="4718076.12"/>
    <n v="7.4742268041237112E-2"/>
    <s v="📦 Overstocked &amp; Dead"/>
    <s v="OK"/>
    <s v="OK"/>
    <s v="OK"/>
  </r>
  <r>
    <s v="SKU-5052"/>
    <x v="43"/>
    <x v="1"/>
    <n v="124"/>
    <n v="7432.63"/>
    <n v="18831.03"/>
    <d v="2025-03-11T00:00:00"/>
    <n v="60"/>
    <x v="2"/>
    <n v="921646.12"/>
    <n v="0.12096774193548387"/>
    <s v="✅ Stock Level OK"/>
    <s v="OK"/>
    <s v="OK"/>
    <s v="OK"/>
  </r>
  <r>
    <s v="SKU-5065"/>
    <x v="44"/>
    <x v="2"/>
    <n v="319"/>
    <n v="7438.08"/>
    <n v="20155.11"/>
    <d v="2025-04-07T00:00:00"/>
    <n v="33"/>
    <x v="2"/>
    <n v="2372747.52"/>
    <n v="4.3887147335423198E-2"/>
    <s v="✅ Stock Level OK"/>
    <s v="OK"/>
    <s v="OK"/>
    <s v="OK"/>
  </r>
  <r>
    <s v="SKU-5061"/>
    <x v="45"/>
    <x v="2"/>
    <n v="232"/>
    <n v="13996.98"/>
    <n v="34533.99"/>
    <d v="2025-04-18T00:00:00"/>
    <n v="22"/>
    <x v="3"/>
    <n v="3247299.36"/>
    <n v="0.34051724137931033"/>
    <s v="✅ Stock Level OK"/>
    <s v="OK"/>
    <s v="OK"/>
    <s v="OK"/>
  </r>
  <r>
    <s v="SKU-5009"/>
    <x v="46"/>
    <x v="4"/>
    <n v="78"/>
    <n v="17053.05"/>
    <n v="33022.620000000003"/>
    <d v="2024-04-11T00:00:00"/>
    <n v="394"/>
    <x v="0"/>
    <n v="1330137.8999999999"/>
    <n v="0.87179487179487181"/>
    <s v="✅ Stock Level OK"/>
    <s v="OK"/>
    <s v="OK"/>
    <s v="OK"/>
  </r>
  <r>
    <s v="SKU-5068"/>
    <x v="47"/>
    <x v="2"/>
    <n v="159"/>
    <n v="10616.94"/>
    <n v="16046.84"/>
    <d v="2025-04-21T00:00:00"/>
    <n v="19"/>
    <x v="3"/>
    <n v="1688093.4600000002"/>
    <n v="0.4779874213836478"/>
    <s v="✅ Stock Level OK"/>
    <s v="OK"/>
    <s v="OK"/>
    <s v="OK"/>
  </r>
  <r>
    <s v="SKU-5005"/>
    <x v="48"/>
    <x v="4"/>
    <n v="413"/>
    <n v="15793.16"/>
    <n v="35078.769999999997"/>
    <d v="2025-04-09T00:00:00"/>
    <n v="31"/>
    <x v="2"/>
    <n v="6522575.0800000001"/>
    <n v="0.19854721549636803"/>
    <s v="✅ Stock Level OK"/>
    <s v="OK"/>
    <s v="OK"/>
    <s v="OK"/>
  </r>
  <r>
    <s v="SKU-5038"/>
    <x v="49"/>
    <x v="0"/>
    <n v="559"/>
    <n v="17383.71"/>
    <n v="43072.92"/>
    <d v="2024-05-04T00:00:00"/>
    <n v="371"/>
    <x v="0"/>
    <n v="9717493.8899999987"/>
    <n v="0.10554561717352415"/>
    <s v="📦 Overstocked &amp; Dead"/>
    <s v="OK"/>
    <s v="OK"/>
    <s v="OK"/>
  </r>
  <r>
    <s v="SKU-5036"/>
    <x v="50"/>
    <x v="0"/>
    <n v="392"/>
    <n v="16730.64"/>
    <n v="44260.639999999999"/>
    <d v="2025-01-13T00:00:00"/>
    <n v="117"/>
    <x v="0"/>
    <n v="6558410.8799999999"/>
    <n v="0.23214285714285715"/>
    <s v="📦 Overstocked &amp; Dead"/>
    <s v="OK"/>
    <s v="OK"/>
    <s v="OK"/>
  </r>
  <r>
    <s v="SKU-5049"/>
    <x v="51"/>
    <x v="1"/>
    <n v="511"/>
    <n v="5115.09"/>
    <n v="9474.61"/>
    <d v="2025-03-29T00:00:00"/>
    <n v="42"/>
    <x v="2"/>
    <n v="2613810.9900000002"/>
    <n v="0.11741682974559686"/>
    <s v="✅ Stock Level OK"/>
    <s v="OK"/>
    <s v="OK"/>
    <s v="OK"/>
  </r>
  <r>
    <s v="SKU-5020"/>
    <x v="52"/>
    <x v="3"/>
    <n v="160"/>
    <n v="7784.21"/>
    <n v="5972.87"/>
    <d v="2025-03-06T00:00:00"/>
    <n v="65"/>
    <x v="4"/>
    <n v="1245473.6000000001"/>
    <n v="0.66249999999999998"/>
    <s v="✅ Stock Level OK"/>
    <s v="OK"/>
    <s v="OK"/>
    <s v="SELLING AT LOSS - REVIEW PRICING"/>
  </r>
  <r>
    <s v="SKU-5046"/>
    <x v="53"/>
    <x v="1"/>
    <n v="297"/>
    <n v="8537.94"/>
    <n v="6969.21"/>
    <d v="2025-03-09T00:00:00"/>
    <n v="62"/>
    <x v="4"/>
    <n v="2535768.1800000002"/>
    <n v="0.19528619528619529"/>
    <s v="✅ Stock Level OK"/>
    <s v="OK"/>
    <s v="OK"/>
    <s v="SELLING AT LOSS - REVIEW PRICING"/>
  </r>
  <r>
    <s v="SKU-5002"/>
    <x v="54"/>
    <x v="3"/>
    <n v="525"/>
    <n v="6270.41"/>
    <n v="16007.69"/>
    <d v="2025-04-05T00:00:00"/>
    <n v="35"/>
    <x v="2"/>
    <n v="3291965.25"/>
    <n v="0.21904761904761905"/>
    <s v="✅ Stock Level OK"/>
    <s v="OK"/>
    <s v="OK"/>
    <s v="OK"/>
  </r>
  <r>
    <s v="SKU-5074"/>
    <x v="55"/>
    <x v="2"/>
    <n v="237"/>
    <n v="10465.85"/>
    <n v="23268.9"/>
    <d v="2025-02-23T00:00:00"/>
    <n v="76"/>
    <x v="4"/>
    <n v="2480406.4500000002"/>
    <n v="0.18565400843881857"/>
    <s v="✅ Stock Level OK"/>
    <s v="OK"/>
    <s v="OK"/>
    <s v="OK"/>
  </r>
  <r>
    <s v="SKU-5010"/>
    <x v="56"/>
    <x v="4"/>
    <n v="390"/>
    <n v="12464.14"/>
    <n v="22314.639999999999"/>
    <d v="2025-05-03T00:00:00"/>
    <n v="7"/>
    <x v="3"/>
    <n v="4861014.5999999996"/>
    <n v="0.16923076923076924"/>
    <s v="✅ Stock Level OK"/>
    <s v="OK"/>
    <s v="OK"/>
    <s v="OK"/>
  </r>
  <r>
    <s v="SKU-5021"/>
    <x v="57"/>
    <x v="3"/>
    <n v="424"/>
    <n v="1984.87"/>
    <n v="5171.2700000000004"/>
    <d v="2025-04-06T00:00:00"/>
    <n v="34"/>
    <x v="2"/>
    <n v="841584.88"/>
    <n v="0.22405660377358491"/>
    <s v="✅ Stock Level OK"/>
    <s v="OK"/>
    <s v="OK"/>
    <s v="OK"/>
  </r>
  <r>
    <s v="SKU-5058"/>
    <x v="58"/>
    <x v="1"/>
    <n v="192"/>
    <n v="4508.92"/>
    <n v="10214.620000000001"/>
    <d v="2025-02-22T00:00:00"/>
    <n v="77"/>
    <x v="4"/>
    <n v="865712.64000000001"/>
    <n v="5.2083333333333336E-2"/>
    <s v="✅ Stock Level OK"/>
    <s v="OK"/>
    <s v="OK"/>
    <s v="OK"/>
  </r>
  <r>
    <s v="SKU-5019"/>
    <x v="59"/>
    <x v="1"/>
    <n v="147"/>
    <n v="6997.01"/>
    <n v="13811.01"/>
    <d v="2025-03-24T00:00:00"/>
    <n v="47"/>
    <x v="2"/>
    <n v="1028560.4700000001"/>
    <n v="0.23809523809523808"/>
    <s v="✅ Stock Level OK"/>
    <s v="OK"/>
    <s v="OK"/>
    <s v="OK"/>
  </r>
  <r>
    <s v="SKU-5048"/>
    <x v="60"/>
    <x v="1"/>
    <n v="34"/>
    <n v="16026.2"/>
    <n v="34203.74"/>
    <d v="2025-01-06T00:00:00"/>
    <n v="124"/>
    <x v="0"/>
    <n v="544890.80000000005"/>
    <n v="2.5294117647058822"/>
    <s v="⚠️ Below Reorder Point - Restock Now"/>
    <s v="OK"/>
    <s v="OK"/>
    <s v="OK"/>
  </r>
  <r>
    <s v="SKU-5027"/>
    <x v="61"/>
    <x v="3"/>
    <n v="181"/>
    <n v="9274.4599999999991"/>
    <n v="25342.63"/>
    <d v="2025-03-22T00:00:00"/>
    <n v="49"/>
    <x v="2"/>
    <n v="1678677.2599999998"/>
    <n v="0.19889502762430938"/>
    <s v="✅ Stock Level OK"/>
    <s v="OK"/>
    <s v="OK"/>
    <s v="OK"/>
  </r>
  <r>
    <s v="SKU-5011"/>
    <x v="62"/>
    <x v="4"/>
    <n v="80"/>
    <n v="4236.6099999999997"/>
    <n v="10863.46"/>
    <d v="2025-04-26T00:00:00"/>
    <n v="14"/>
    <x v="3"/>
    <n v="338928.8"/>
    <n v="0.4375"/>
    <s v="⚠️ Below Reorder Point - Restock Now"/>
    <s v="OK"/>
    <s v="OK"/>
    <s v="OK"/>
  </r>
  <r>
    <s v="SKU-5003"/>
    <x v="63"/>
    <x v="4"/>
    <n v="111"/>
    <n v="5315.58"/>
    <n v="8032.31"/>
    <d v="2025-04-03T00:00:00"/>
    <n v="37"/>
    <x v="2"/>
    <n v="590029.38"/>
    <n v="0.52252252252252251"/>
    <s v="✅ Stock Level OK"/>
    <s v="OK"/>
    <s v="OK"/>
    <s v="OK"/>
  </r>
  <r>
    <s v="SKU-5073"/>
    <x v="64"/>
    <x v="2"/>
    <n v="583"/>
    <n v="14640.08"/>
    <n v="30821.19"/>
    <d v="2024-07-20T00:00:00"/>
    <n v="294"/>
    <x v="0"/>
    <n v="8535166.6400000006"/>
    <n v="0.14579759862778729"/>
    <s v="📦 Overstocked &amp; Dead"/>
    <s v="OK"/>
    <s v="OK"/>
    <s v="OK"/>
  </r>
  <r>
    <s v="SKU-5008"/>
    <x v="65"/>
    <x v="4"/>
    <n v="173"/>
    <n v="11555.25"/>
    <n v="15908.92"/>
    <d v="2025-04-01T00:00:00"/>
    <n v="39"/>
    <x v="2"/>
    <n v="1999058.25"/>
    <n v="0.5722543352601156"/>
    <s v="⚠️ Below Reorder Point - Restock Now"/>
    <s v="OK"/>
    <s v="OK"/>
    <s v="OK"/>
  </r>
  <r>
    <s v="SKU-5051"/>
    <x v="66"/>
    <x v="1"/>
    <n v="60"/>
    <n v="11264.01"/>
    <n v="20980.67"/>
    <d v="2024-07-25T00:00:00"/>
    <n v="289"/>
    <x v="0"/>
    <n v="675840.6"/>
    <n v="1.1666666666666667"/>
    <s v="✅ Stock Level OK"/>
    <s v="OK"/>
    <s v="OK"/>
    <s v="OK"/>
  </r>
  <r>
    <s v="SKU-5072"/>
    <x v="67"/>
    <x v="2"/>
    <n v="105"/>
    <n v="7536.57"/>
    <n v="13489.46"/>
    <d v="2025-03-21T00:00:00"/>
    <n v="50"/>
    <x v="2"/>
    <n v="791339.85"/>
    <n v="0.38095238095238093"/>
    <s v="✅ Stock Level OK"/>
    <s v="OK"/>
    <s v="OK"/>
    <s v="OK"/>
  </r>
  <r>
    <s v="SKU-5018"/>
    <x v="68"/>
    <x v="3"/>
    <n v="-18"/>
    <n v="15032.35"/>
    <n v="32283.759999999998"/>
    <d v="2025-02-12T00:00:00"/>
    <n v="87"/>
    <x v="4"/>
    <n v="0"/>
    <n v="0"/>
    <s v="Data Error"/>
    <s v="OK"/>
    <s v="NEGATIVE QTY - DATA ERROR"/>
    <s v="OK"/>
  </r>
  <r>
    <s v="SKU-5000"/>
    <x v="69"/>
    <x v="4"/>
    <n v="112"/>
    <n v="13386.68"/>
    <n v="18131.240000000002"/>
    <d v="2020-01-01T00:00:00"/>
    <s v="No Sale Record"/>
    <x v="1"/>
    <n v="1499308.1600000001"/>
    <n v="1.0178571428571428"/>
    <s v="⚠️ Below Reorder Point - Restock Now"/>
    <s v="NO SALE RECORDED"/>
    <s v="OK"/>
    <s v="OK"/>
  </r>
  <r>
    <s v="SKU-5044"/>
    <x v="70"/>
    <x v="0"/>
    <n v="95"/>
    <n v="2858.33"/>
    <n v="7759.03"/>
    <d v="2025-04-26T00:00:00"/>
    <n v="14"/>
    <x v="3"/>
    <n v="271541.34999999998"/>
    <n v="0.15789473684210525"/>
    <s v="⚠️ Below Reorder Point - Restock Now"/>
    <s v="OK"/>
    <s v="OK"/>
    <s v="OK"/>
  </r>
  <r>
    <s v="SKU-5043"/>
    <x v="71"/>
    <x v="0"/>
    <n v="498"/>
    <n v="1981.19"/>
    <n v="1615.46"/>
    <d v="2025-04-12T00:00:00"/>
    <n v="28"/>
    <x v="3"/>
    <n v="986632.62"/>
    <n v="4.6184738955823292E-2"/>
    <s v="✅ Stock Level OK"/>
    <s v="OK"/>
    <s v="OK"/>
    <s v="SELLING AT LOSS - REVIEW PRICING"/>
  </r>
  <r>
    <s v="SKU-5039"/>
    <x v="72"/>
    <x v="0"/>
    <n v="340"/>
    <n v="12077.16"/>
    <n v="23555.71"/>
    <d v="2025-03-09T00:00:00"/>
    <n v="62"/>
    <x v="4"/>
    <n v="4106234.4"/>
    <n v="7.9411764705882348E-2"/>
    <s v="✅ Stock Level OK"/>
    <s v="OK"/>
    <s v="OK"/>
    <s v="OK"/>
  </r>
  <r>
    <s v="SKU-5034"/>
    <x v="73"/>
    <x v="0"/>
    <n v="266"/>
    <n v="6917.4"/>
    <n v="17415.47"/>
    <d v="2025-01-29T00:00:00"/>
    <n v="101"/>
    <x v="0"/>
    <n v="1840028.4"/>
    <n v="0.22556390977443608"/>
    <s v="📦 Overstocked &amp; Dead"/>
    <s v="OK"/>
    <s v="OK"/>
    <s v="OK"/>
  </r>
  <r>
    <s v="SKU-5023"/>
    <x v="74"/>
    <x v="3"/>
    <n v="416"/>
    <n v="15703.12"/>
    <n v="34999.99"/>
    <d v="2025-02-01T00:00:00"/>
    <n v="98"/>
    <x v="0"/>
    <n v="6532497.9199999999"/>
    <n v="0.26442307692307693"/>
    <s v="📦 Overstocked &amp; Dead"/>
    <s v="OK"/>
    <s v="OK"/>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9FE8A1-3FAF-444B-BDF8-7CA9D30C16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B31" firstHeaderRow="1" firstDataRow="1" firstDataCol="1"/>
  <pivotFields count="15">
    <pivotField showAll="0"/>
    <pivotField showAll="0"/>
    <pivotField axis="axisRow" showAll="0">
      <items count="6">
        <item x="3"/>
        <item x="4"/>
        <item x="1"/>
        <item x="0"/>
        <item x="2"/>
        <item t="default"/>
      </items>
    </pivotField>
    <pivotField numFmtId="1" showAll="0"/>
    <pivotField numFmtId="2" showAll="0"/>
    <pivotField numFmtId="2" showAll="0"/>
    <pivotField numFmtId="164" showAll="0"/>
    <pivotField showAll="0"/>
    <pivotField axis="axisRow" showAll="0">
      <items count="6">
        <item x="1"/>
        <item x="0"/>
        <item x="2"/>
        <item x="4"/>
        <item x="3"/>
        <item t="default"/>
      </items>
    </pivotField>
    <pivotField dataField="1" numFmtId="1" showAll="0"/>
    <pivotField numFmtId="2" showAll="0"/>
    <pivotField showAll="0"/>
    <pivotField showAll="0"/>
    <pivotField showAll="0"/>
    <pivotField showAll="0"/>
  </pivotFields>
  <rowFields count="2">
    <field x="2"/>
    <field x="8"/>
  </rowFields>
  <rowItems count="28">
    <i>
      <x/>
    </i>
    <i r="1">
      <x v="1"/>
    </i>
    <i r="1">
      <x v="2"/>
    </i>
    <i r="1">
      <x v="3"/>
    </i>
    <i r="1">
      <x v="4"/>
    </i>
    <i>
      <x v="1"/>
    </i>
    <i r="1">
      <x/>
    </i>
    <i r="1">
      <x v="1"/>
    </i>
    <i r="1">
      <x v="2"/>
    </i>
    <i r="1">
      <x v="3"/>
    </i>
    <i r="1">
      <x v="4"/>
    </i>
    <i>
      <x v="2"/>
    </i>
    <i r="1">
      <x/>
    </i>
    <i r="1">
      <x v="1"/>
    </i>
    <i r="1">
      <x v="2"/>
    </i>
    <i r="1">
      <x v="3"/>
    </i>
    <i r="1">
      <x v="4"/>
    </i>
    <i>
      <x v="3"/>
    </i>
    <i r="1">
      <x v="1"/>
    </i>
    <i r="1">
      <x v="2"/>
    </i>
    <i r="1">
      <x v="3"/>
    </i>
    <i r="1">
      <x v="4"/>
    </i>
    <i>
      <x v="4"/>
    </i>
    <i r="1">
      <x v="1"/>
    </i>
    <i r="1">
      <x v="2"/>
    </i>
    <i r="1">
      <x v="3"/>
    </i>
    <i r="1">
      <x v="4"/>
    </i>
    <i t="grand">
      <x/>
    </i>
  </rowItems>
  <colItems count="1">
    <i/>
  </colItems>
  <dataFields count="1">
    <dataField name="Cash Tied Up PKR" fld="9" baseField="2" baseItem="0" numFmtId="2"/>
  </dataFields>
  <formats count="21">
    <format dxfId="52">
      <pivotArea field="2" type="button" dataOnly="0" labelOnly="1" outline="0" axis="axisRow" fieldPosition="0"/>
    </format>
    <format dxfId="51">
      <pivotArea dataOnly="0" labelOnly="1" outline="0" axis="axisValues" fieldPosition="0"/>
    </format>
    <format dxfId="50">
      <pivotArea field="2" type="button" dataOnly="0" labelOnly="1" outline="0" axis="axisRow" fieldPosition="0"/>
    </format>
    <format dxfId="49">
      <pivotArea dataOnly="0" labelOnly="1" outline="0" axis="axisValues" fieldPosition="0"/>
    </format>
    <format dxfId="48">
      <pivotArea outline="0" fieldPosition="0">
        <references count="1">
          <reference field="4294967294" count="1">
            <x v="0"/>
          </reference>
        </references>
      </pivotArea>
    </format>
    <format dxfId="47">
      <pivotArea field="2" type="button" dataOnly="0" labelOnly="1" outline="0" axis="axisRow" fieldPosition="0"/>
    </format>
    <format dxfId="46">
      <pivotArea dataOnly="0" labelOnly="1" outline="0" axis="axisValues" fieldPosition="0"/>
    </format>
    <format dxfId="45">
      <pivotArea field="2" type="button" dataOnly="0" labelOnly="1" outline="0" axis="axisRow" fieldPosition="0"/>
    </format>
    <format dxfId="44">
      <pivotArea dataOnly="0" labelOnly="1" outline="0" axis="axisValues" fieldPosition="0"/>
    </format>
    <format dxfId="43">
      <pivotArea field="2" type="button" dataOnly="0" labelOnly="1" outline="0" axis="axisRow" fieldPosition="0"/>
    </format>
    <format dxfId="42">
      <pivotArea dataOnly="0" labelOnly="1" outline="0" axis="axisValues" fieldPosition="0"/>
    </format>
    <format dxfId="41">
      <pivotArea field="2" type="button" dataOnly="0" labelOnly="1" outline="0" axis="axisRow" fieldPosition="0"/>
    </format>
    <format dxfId="40">
      <pivotArea dataOnly="0" labelOnly="1" outline="0" axis="axisValues" fieldPosition="0"/>
    </format>
    <format dxfId="39">
      <pivotArea field="2" type="button" dataOnly="0" labelOnly="1" outline="0" axis="axisRow" fieldPosition="0"/>
    </format>
    <format dxfId="38">
      <pivotArea dataOnly="0" labelOnly="1" outline="0" axis="axisValues" fieldPosition="0"/>
    </format>
    <format dxfId="37">
      <pivotArea grandRow="1" outline="0" collapsedLevelsAreSubtotals="1" fieldPosition="0"/>
    </format>
    <format dxfId="36">
      <pivotArea dataOnly="0" labelOnly="1" grandRow="1" outline="0" fieldPosition="0"/>
    </format>
    <format dxfId="35">
      <pivotArea grandRow="1" outline="0" collapsedLevelsAreSubtotals="1" fieldPosition="0"/>
    </format>
    <format dxfId="34">
      <pivotArea dataOnly="0" labelOnly="1" grandRow="1" outline="0" fieldPosition="0"/>
    </format>
    <format dxfId="33">
      <pivotArea grandRow="1" outline="0" collapsedLevelsAreSubtotals="1" fieldPosition="0"/>
    </format>
    <format dxfId="3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4F9117-7228-4704-966E-4730A694D6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ing Bucket">
  <location ref="A3:C9" firstHeaderRow="0" firstDataRow="1" firstDataCol="1"/>
  <pivotFields count="15">
    <pivotField dataField="1" showAll="0"/>
    <pivotField showAll="0"/>
    <pivotField showAll="0"/>
    <pivotField numFmtId="1" showAll="0"/>
    <pivotField numFmtId="2" showAll="0"/>
    <pivotField numFmtId="2" showAll="0"/>
    <pivotField numFmtId="164" showAll="0"/>
    <pivotField showAll="0"/>
    <pivotField axis="axisRow" showAll="0">
      <items count="6">
        <item x="1"/>
        <item x="0"/>
        <item x="2"/>
        <item x="4"/>
        <item x="3"/>
        <item t="default"/>
      </items>
    </pivotField>
    <pivotField dataField="1" numFmtId="1" showAll="0"/>
    <pivotField numFmtId="2" showAll="0"/>
    <pivotField showAll="0"/>
    <pivotField showAll="0"/>
    <pivotField showAll="0"/>
    <pivotField showAll="0"/>
  </pivotFields>
  <rowFields count="1">
    <field x="8"/>
  </rowFields>
  <rowItems count="6">
    <i>
      <x/>
    </i>
    <i>
      <x v="1"/>
    </i>
    <i>
      <x v="2"/>
    </i>
    <i>
      <x v="3"/>
    </i>
    <i>
      <x v="4"/>
    </i>
    <i t="grand">
      <x/>
    </i>
  </rowItems>
  <colFields count="1">
    <field x="-2"/>
  </colFields>
  <colItems count="2">
    <i>
      <x/>
    </i>
    <i i="1">
      <x v="1"/>
    </i>
  </colItems>
  <dataFields count="2">
    <dataField name="Number of SKUs" fld="0" subtotal="count" baseField="8" baseItem="0"/>
    <dataField name="Cash Tied Up PKR" fld="9" baseField="8" baseItem="0" numFmtId="2"/>
  </dataFields>
  <formats count="15">
    <format dxfId="31">
      <pivotArea field="8" type="button" dataOnly="0" labelOnly="1" outline="0" axis="axisRow" fieldPosition="0"/>
    </format>
    <format dxfId="30">
      <pivotArea dataOnly="0" labelOnly="1" outline="0" fieldPosition="0">
        <references count="1">
          <reference field="4294967294" count="2">
            <x v="0"/>
            <x v="1"/>
          </reference>
        </references>
      </pivotArea>
    </format>
    <format dxfId="29">
      <pivotArea field="8" type="button" dataOnly="0" labelOnly="1" outline="0" axis="axisRow" fieldPosition="0"/>
    </format>
    <format dxfId="28">
      <pivotArea dataOnly="0" labelOnly="1" outline="0" fieldPosition="0">
        <references count="1">
          <reference field="4294967294" count="2">
            <x v="0"/>
            <x v="1"/>
          </reference>
        </references>
      </pivotArea>
    </format>
    <format dxfId="27">
      <pivotArea outline="0" fieldPosition="0">
        <references count="1">
          <reference field="4294967294" count="1">
            <x v="1"/>
          </reference>
        </references>
      </pivotArea>
    </format>
    <format dxfId="26">
      <pivotArea field="8" type="button" dataOnly="0" labelOnly="1" outline="0" axis="axisRow" fieldPosition="0"/>
    </format>
    <format dxfId="25">
      <pivotArea dataOnly="0" labelOnly="1" outline="0" fieldPosition="0">
        <references count="1">
          <reference field="4294967294" count="2">
            <x v="0"/>
            <x v="1"/>
          </reference>
        </references>
      </pivotArea>
    </format>
    <format dxfId="24">
      <pivotArea field="8" type="button" dataOnly="0" labelOnly="1" outline="0" axis="axisRow" fieldPosition="0"/>
    </format>
    <format dxfId="23">
      <pivotArea dataOnly="0" labelOnly="1" outline="0" fieldPosition="0">
        <references count="1">
          <reference field="4294967294" count="2">
            <x v="0"/>
            <x v="1"/>
          </reference>
        </references>
      </pivotArea>
    </format>
    <format dxfId="22">
      <pivotArea grandRow="1" outline="0" collapsedLevelsAreSubtotals="1" fieldPosition="0"/>
    </format>
    <format dxfId="21">
      <pivotArea dataOnly="0" labelOnly="1" grandRow="1" outline="0" fieldPosition="0"/>
    </format>
    <format dxfId="20">
      <pivotArea grandRow="1" outline="0" collapsedLevelsAreSubtotals="1" fieldPosition="0"/>
    </format>
    <format dxfId="19">
      <pivotArea dataOnly="0" labelOnly="1" grandRow="1" outline="0" fieldPosition="0"/>
    </format>
    <format dxfId="18">
      <pivotArea field="8" type="button" dataOnly="0" labelOnly="1" outline="0" axis="axisRow" fieldPosition="0"/>
    </format>
    <format dxfId="1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FBBDEB-9D6E-4473-9FB8-13B0AC05FC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Name">
  <location ref="A3:B52" firstHeaderRow="1" firstDataRow="1" firstDataCol="1" rowPageCount="1" colPageCount="1"/>
  <pivotFields count="15">
    <pivotField showAll="0"/>
    <pivotField axis="axisRow" showAll="0" sortType="descending">
      <items count="76">
        <item x="64"/>
        <item x="10"/>
        <item x="34"/>
        <item x="25"/>
        <item x="32"/>
        <item x="19"/>
        <item x="59"/>
        <item x="68"/>
        <item x="49"/>
        <item x="50"/>
        <item x="13"/>
        <item x="47"/>
        <item x="6"/>
        <item x="73"/>
        <item x="26"/>
        <item x="0"/>
        <item x="60"/>
        <item x="58"/>
        <item x="9"/>
        <item x="7"/>
        <item x="55"/>
        <item x="29"/>
        <item x="24"/>
        <item x="30"/>
        <item x="31"/>
        <item x="44"/>
        <item x="40"/>
        <item x="28"/>
        <item x="56"/>
        <item x="39"/>
        <item x="21"/>
        <item x="46"/>
        <item x="54"/>
        <item x="69"/>
        <item x="36"/>
        <item x="65"/>
        <item x="23"/>
        <item x="70"/>
        <item x="1"/>
        <item x="2"/>
        <item x="37"/>
        <item x="62"/>
        <item x="11"/>
        <item x="14"/>
        <item x="51"/>
        <item x="67"/>
        <item x="61"/>
        <item x="45"/>
        <item x="8"/>
        <item x="17"/>
        <item x="38"/>
        <item x="43"/>
        <item x="27"/>
        <item x="41"/>
        <item x="33"/>
        <item x="48"/>
        <item x="5"/>
        <item x="35"/>
        <item x="57"/>
        <item x="74"/>
        <item x="66"/>
        <item x="3"/>
        <item x="20"/>
        <item x="72"/>
        <item x="12"/>
        <item x="71"/>
        <item x="53"/>
        <item x="42"/>
        <item x="18"/>
        <item x="15"/>
        <item x="52"/>
        <item x="63"/>
        <item x="22"/>
        <item x="16"/>
        <item x="4"/>
        <item t="default"/>
      </items>
      <autoSortScope>
        <pivotArea dataOnly="0" outline="0" fieldPosition="0">
          <references count="1">
            <reference field="4294967294" count="1" selected="0">
              <x v="0"/>
            </reference>
          </references>
        </pivotArea>
      </autoSortScope>
    </pivotField>
    <pivotField axis="axisRow" showAll="0">
      <items count="6">
        <item x="3"/>
        <item x="4"/>
        <item x="1"/>
        <item x="0"/>
        <item x="2"/>
        <item t="default"/>
      </items>
    </pivotField>
    <pivotField numFmtId="1" showAll="0"/>
    <pivotField numFmtId="2" showAll="0"/>
    <pivotField numFmtId="2" showAll="0"/>
    <pivotField numFmtId="164" showAll="0"/>
    <pivotField showAll="0"/>
    <pivotField axis="axisPage" multipleItemSelectionAllowed="1" showAll="0">
      <items count="6">
        <item h="1" x="1"/>
        <item x="0"/>
        <item h="1" x="2"/>
        <item h="1" x="4"/>
        <item h="1" x="3"/>
        <item t="default"/>
      </items>
    </pivotField>
    <pivotField dataField="1" numFmtId="1" showAll="0"/>
    <pivotField numFmtId="2" showAll="0"/>
    <pivotField showAll="0"/>
    <pivotField showAll="0"/>
    <pivotField showAll="0"/>
    <pivotField showAll="0"/>
  </pivotFields>
  <rowFields count="2">
    <field x="1"/>
    <field x="2"/>
  </rowFields>
  <rowItems count="49">
    <i>
      <x v="8"/>
    </i>
    <i r="1">
      <x v="3"/>
    </i>
    <i>
      <x/>
    </i>
    <i r="1">
      <x v="4"/>
    </i>
    <i>
      <x v="26"/>
    </i>
    <i r="1">
      <x/>
    </i>
    <i>
      <x v="9"/>
    </i>
    <i r="1">
      <x v="3"/>
    </i>
    <i>
      <x v="59"/>
    </i>
    <i r="1">
      <x/>
    </i>
    <i>
      <x v="40"/>
    </i>
    <i r="1">
      <x v="3"/>
    </i>
    <i>
      <x v="67"/>
    </i>
    <i r="1">
      <x v="4"/>
    </i>
    <i>
      <x v="30"/>
    </i>
    <i r="1">
      <x v="3"/>
    </i>
    <i>
      <x v="72"/>
    </i>
    <i r="1">
      <x/>
    </i>
    <i>
      <x v="23"/>
    </i>
    <i r="1">
      <x/>
    </i>
    <i>
      <x v="61"/>
    </i>
    <i r="1">
      <x v="4"/>
    </i>
    <i>
      <x v="4"/>
    </i>
    <i r="1">
      <x v="3"/>
    </i>
    <i>
      <x v="43"/>
    </i>
    <i r="1">
      <x v="3"/>
    </i>
    <i>
      <x v="13"/>
    </i>
    <i r="1">
      <x v="3"/>
    </i>
    <i>
      <x v="15"/>
    </i>
    <i r="1">
      <x v="3"/>
    </i>
    <i>
      <x v="31"/>
    </i>
    <i r="1">
      <x v="1"/>
    </i>
    <i>
      <x v="62"/>
    </i>
    <i r="1">
      <x/>
    </i>
    <i>
      <x v="69"/>
    </i>
    <i r="1">
      <x v="1"/>
    </i>
    <i>
      <x v="52"/>
    </i>
    <i r="1">
      <x v="4"/>
    </i>
    <i>
      <x v="60"/>
    </i>
    <i r="1">
      <x v="2"/>
    </i>
    <i>
      <x v="16"/>
    </i>
    <i r="1">
      <x v="2"/>
    </i>
    <i>
      <x v="36"/>
    </i>
    <i r="1">
      <x/>
    </i>
    <i>
      <x v="5"/>
    </i>
    <i r="1">
      <x v="1"/>
    </i>
    <i>
      <x v="53"/>
    </i>
    <i r="1">
      <x/>
    </i>
    <i t="grand">
      <x/>
    </i>
  </rowItems>
  <colItems count="1">
    <i/>
  </colItems>
  <pageFields count="1">
    <pageField fld="8" hier="-1"/>
  </pageFields>
  <dataFields count="1">
    <dataField name="Cash Tied Up PKR " fld="9" baseField="1" baseItem="0" numFmtId="2"/>
  </dataFields>
  <formats count="8">
    <format dxfId="16">
      <pivotArea field="1" type="button" dataOnly="0" labelOnly="1" outline="0" axis="axisRow" fieldPosition="0"/>
    </format>
    <format dxfId="15">
      <pivotArea dataOnly="0" labelOnly="1" outline="0" axis="axisValues" fieldPosition="0"/>
    </format>
    <format dxfId="14">
      <pivotArea field="1" type="button" dataOnly="0" labelOnly="1" outline="0" axis="axisRow" fieldPosition="0"/>
    </format>
    <format dxfId="13">
      <pivotArea dataOnly="0" labelOnly="1" outline="0" axis="axisValues" fieldPosition="0"/>
    </format>
    <format dxfId="12">
      <pivotArea field="1" type="button" dataOnly="0" labelOnly="1" outline="0" axis="axisRow" fieldPosition="0"/>
    </format>
    <format dxfId="11">
      <pivotArea dataOnly="0" labelOnly="1" outline="0" axis="axisValues" fieldPosition="0"/>
    </format>
    <format dxfId="10">
      <pivotArea dataOnly="0" grandRow="1" fieldPosition="0"/>
    </format>
    <format dxfId="9">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328BC3-0A90-4947-BA12-6F964EA8FAF7}" name="Table1" displayName="Table1" ref="A2:B7" totalsRowShown="0" headerRowDxfId="8" dataDxfId="7">
  <tableColumns count="2">
    <tableColumn id="1" xr3:uid="{7EE89544-EEC1-4DD0-B679-3A70F1D08D46}" name="Aging Bucket" dataDxfId="6"/>
    <tableColumn id="2" xr3:uid="{3DBEE72B-C29A-43D7-8164-285362C05611}" name="Cash Value PKR" dataDxfId="5"/>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E15245-9FCC-4F45-83EA-AB52C8C9A9EF}" name="Table2" displayName="Table2" ref="E2:F7" totalsRowShown="0" headerRowDxfId="4" dataDxfId="3">
  <sortState xmlns:xlrd2="http://schemas.microsoft.com/office/spreadsheetml/2017/richdata2" ref="E3:F7">
    <sortCondition descending="1" ref="F2:F7"/>
  </sortState>
  <tableColumns count="2">
    <tableColumn id="1" xr3:uid="{CBA6BA3B-3E70-41EF-B437-3F1BCBBB9344}" name="Category" dataDxfId="2"/>
    <tableColumn id="2" xr3:uid="{37AE1565-1BCA-4BC2-BFC8-DBF3C1EA9B7F}" name="Dead Stock Cash PKR" dataDxfId="1"/>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D43AC-61E6-4879-908A-F0494A68003D}">
  <dimension ref="A1:O82"/>
  <sheetViews>
    <sheetView workbookViewId="0">
      <selection activeCell="R18" sqref="R18"/>
    </sheetView>
  </sheetViews>
  <sheetFormatPr defaultRowHeight="14.4" x14ac:dyDescent="0.3"/>
  <cols>
    <col min="1" max="1" width="14.21875" customWidth="1"/>
    <col min="2" max="2" width="16"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E2" t="s">
        <v>19</v>
      </c>
      <c r="F2">
        <v>125</v>
      </c>
      <c r="G2">
        <v>11240.84</v>
      </c>
      <c r="H2">
        <v>21532.76</v>
      </c>
      <c r="I2" s="1">
        <v>45673</v>
      </c>
      <c r="J2">
        <v>27</v>
      </c>
      <c r="K2">
        <v>6.15</v>
      </c>
      <c r="L2">
        <v>19</v>
      </c>
      <c r="M2">
        <v>21</v>
      </c>
      <c r="N2">
        <v>138</v>
      </c>
      <c r="O2" s="1">
        <v>45601</v>
      </c>
    </row>
    <row r="3" spans="1:15" x14ac:dyDescent="0.3">
      <c r="A3" t="s">
        <v>20</v>
      </c>
      <c r="B3" t="s">
        <v>21</v>
      </c>
      <c r="C3" t="s">
        <v>22</v>
      </c>
      <c r="D3" t="s">
        <v>23</v>
      </c>
      <c r="E3" t="s">
        <v>24</v>
      </c>
      <c r="F3">
        <v>266</v>
      </c>
      <c r="G3">
        <v>13724.92</v>
      </c>
      <c r="H3">
        <v>10571.67</v>
      </c>
      <c r="J3">
        <v>98</v>
      </c>
      <c r="K3">
        <v>6.61</v>
      </c>
      <c r="L3">
        <v>17</v>
      </c>
      <c r="M3">
        <v>37</v>
      </c>
      <c r="N3">
        <v>149</v>
      </c>
      <c r="O3" s="1">
        <v>45733</v>
      </c>
    </row>
    <row r="4" spans="1:15" x14ac:dyDescent="0.3">
      <c r="A4" t="s">
        <v>25</v>
      </c>
      <c r="B4" t="s">
        <v>26</v>
      </c>
      <c r="C4" t="s">
        <v>22</v>
      </c>
      <c r="D4" t="s">
        <v>27</v>
      </c>
      <c r="E4" t="s">
        <v>28</v>
      </c>
      <c r="F4">
        <v>108</v>
      </c>
      <c r="G4">
        <v>5279.72</v>
      </c>
      <c r="H4">
        <v>6714.94</v>
      </c>
      <c r="I4" s="1">
        <v>45745</v>
      </c>
      <c r="J4">
        <v>90</v>
      </c>
      <c r="K4">
        <v>3.58</v>
      </c>
      <c r="L4">
        <v>32</v>
      </c>
      <c r="M4">
        <v>11</v>
      </c>
      <c r="N4">
        <v>126</v>
      </c>
      <c r="O4" s="1">
        <v>45577</v>
      </c>
    </row>
    <row r="5" spans="1:15" x14ac:dyDescent="0.3">
      <c r="A5" t="s">
        <v>29</v>
      </c>
      <c r="B5" t="s">
        <v>30</v>
      </c>
      <c r="C5" t="s">
        <v>31</v>
      </c>
      <c r="D5" t="s">
        <v>23</v>
      </c>
      <c r="E5" t="s">
        <v>32</v>
      </c>
      <c r="F5">
        <v>316</v>
      </c>
      <c r="G5">
        <v>13131.29</v>
      </c>
      <c r="H5">
        <v>29242.82</v>
      </c>
      <c r="I5" s="1">
        <v>45661</v>
      </c>
      <c r="J5">
        <v>3</v>
      </c>
      <c r="K5">
        <v>6.79</v>
      </c>
      <c r="L5">
        <v>6</v>
      </c>
      <c r="M5">
        <v>35</v>
      </c>
      <c r="N5">
        <v>76</v>
      </c>
      <c r="O5" s="1">
        <v>45300</v>
      </c>
    </row>
    <row r="6" spans="1:15" x14ac:dyDescent="0.3">
      <c r="A6" t="s">
        <v>33</v>
      </c>
      <c r="B6" t="s">
        <v>34</v>
      </c>
      <c r="C6" t="s">
        <v>35</v>
      </c>
      <c r="D6" t="s">
        <v>36</v>
      </c>
      <c r="E6" t="s">
        <v>28</v>
      </c>
      <c r="F6">
        <v>119</v>
      </c>
      <c r="G6">
        <v>3337.44</v>
      </c>
      <c r="H6">
        <v>5226.38</v>
      </c>
      <c r="I6" s="1">
        <v>45766</v>
      </c>
      <c r="J6">
        <v>44</v>
      </c>
      <c r="K6">
        <v>3.52</v>
      </c>
      <c r="L6">
        <v>28</v>
      </c>
      <c r="M6">
        <v>25</v>
      </c>
      <c r="N6">
        <v>124</v>
      </c>
      <c r="O6" s="1">
        <v>45738</v>
      </c>
    </row>
    <row r="7" spans="1:15" x14ac:dyDescent="0.3">
      <c r="A7" t="s">
        <v>37</v>
      </c>
      <c r="B7" t="s">
        <v>38</v>
      </c>
      <c r="C7" t="s">
        <v>35</v>
      </c>
      <c r="D7" t="s">
        <v>39</v>
      </c>
      <c r="E7" t="s">
        <v>24</v>
      </c>
      <c r="F7">
        <v>209</v>
      </c>
      <c r="G7">
        <v>9430.58</v>
      </c>
      <c r="H7">
        <v>21444.38</v>
      </c>
      <c r="I7" s="1">
        <v>45774</v>
      </c>
      <c r="J7">
        <v>8</v>
      </c>
      <c r="K7">
        <v>5</v>
      </c>
      <c r="L7">
        <v>35</v>
      </c>
      <c r="M7">
        <v>26</v>
      </c>
      <c r="N7">
        <v>201</v>
      </c>
      <c r="O7" s="1">
        <v>45593</v>
      </c>
    </row>
    <row r="8" spans="1:15" x14ac:dyDescent="0.3">
      <c r="A8" t="s">
        <v>40</v>
      </c>
      <c r="B8" t="s">
        <v>41</v>
      </c>
      <c r="C8" t="s">
        <v>42</v>
      </c>
      <c r="D8" t="s">
        <v>23</v>
      </c>
      <c r="E8" t="s">
        <v>19</v>
      </c>
      <c r="F8">
        <v>10</v>
      </c>
      <c r="G8">
        <v>15584.01</v>
      </c>
      <c r="H8">
        <v>21764.48</v>
      </c>
      <c r="I8" s="1">
        <v>45738</v>
      </c>
      <c r="J8">
        <v>33</v>
      </c>
      <c r="K8">
        <v>2.3199999999999998</v>
      </c>
      <c r="L8">
        <v>34</v>
      </c>
      <c r="M8">
        <v>34</v>
      </c>
      <c r="N8">
        <v>113</v>
      </c>
      <c r="O8" s="1">
        <v>45663</v>
      </c>
    </row>
    <row r="9" spans="1:15" x14ac:dyDescent="0.3">
      <c r="A9" t="s">
        <v>43</v>
      </c>
      <c r="B9" t="s">
        <v>44</v>
      </c>
      <c r="C9" t="s">
        <v>22</v>
      </c>
      <c r="D9" t="s">
        <v>45</v>
      </c>
      <c r="E9" t="s">
        <v>24</v>
      </c>
      <c r="F9">
        <v>522</v>
      </c>
      <c r="G9">
        <v>17657.599999999999</v>
      </c>
      <c r="H9">
        <v>20874.689999999999</v>
      </c>
      <c r="I9" s="1">
        <v>45754</v>
      </c>
      <c r="J9">
        <v>42</v>
      </c>
      <c r="K9">
        <v>7</v>
      </c>
      <c r="L9">
        <v>32</v>
      </c>
      <c r="M9">
        <v>11</v>
      </c>
      <c r="N9">
        <v>235</v>
      </c>
      <c r="O9" s="1">
        <v>45315</v>
      </c>
    </row>
    <row r="10" spans="1:15" x14ac:dyDescent="0.3">
      <c r="A10" t="s">
        <v>46</v>
      </c>
      <c r="B10" t="s">
        <v>47</v>
      </c>
      <c r="C10" t="s">
        <v>17</v>
      </c>
      <c r="D10" t="s">
        <v>23</v>
      </c>
      <c r="E10" t="s">
        <v>19</v>
      </c>
      <c r="F10">
        <v>78</v>
      </c>
      <c r="G10">
        <v>883.08</v>
      </c>
      <c r="H10">
        <v>1970.47</v>
      </c>
      <c r="I10" s="1">
        <v>45749</v>
      </c>
      <c r="J10">
        <v>43</v>
      </c>
      <c r="K10">
        <v>6.59</v>
      </c>
      <c r="L10">
        <v>5</v>
      </c>
      <c r="M10">
        <v>31</v>
      </c>
      <c r="N10">
        <v>64</v>
      </c>
      <c r="O10" s="1">
        <v>45538</v>
      </c>
    </row>
    <row r="11" spans="1:15" x14ac:dyDescent="0.3">
      <c r="A11" t="s">
        <v>48</v>
      </c>
      <c r="B11" t="s">
        <v>49</v>
      </c>
      <c r="C11" t="s">
        <v>22</v>
      </c>
      <c r="D11" t="s">
        <v>45</v>
      </c>
      <c r="E11" t="s">
        <v>32</v>
      </c>
      <c r="F11">
        <v>109</v>
      </c>
      <c r="G11">
        <v>5601.04</v>
      </c>
      <c r="H11">
        <v>12009.64</v>
      </c>
      <c r="I11" s="1">
        <v>45761</v>
      </c>
      <c r="J11">
        <v>26</v>
      </c>
      <c r="K11">
        <v>2.15</v>
      </c>
      <c r="L11">
        <v>25</v>
      </c>
      <c r="M11">
        <v>18</v>
      </c>
      <c r="N11">
        <v>72</v>
      </c>
      <c r="O11" s="1">
        <v>45551</v>
      </c>
    </row>
    <row r="12" spans="1:15" x14ac:dyDescent="0.3">
      <c r="A12" t="s">
        <v>50</v>
      </c>
      <c r="B12" t="s">
        <v>51</v>
      </c>
      <c r="C12" t="s">
        <v>31</v>
      </c>
      <c r="D12" t="s">
        <v>36</v>
      </c>
      <c r="E12" t="s">
        <v>32</v>
      </c>
      <c r="F12">
        <v>101</v>
      </c>
      <c r="G12">
        <v>17432.490000000002</v>
      </c>
      <c r="H12">
        <v>43662.13</v>
      </c>
      <c r="I12" s="1">
        <v>45708</v>
      </c>
      <c r="J12">
        <v>82</v>
      </c>
      <c r="K12">
        <v>0.45</v>
      </c>
      <c r="L12">
        <v>25</v>
      </c>
      <c r="M12">
        <v>6</v>
      </c>
      <c r="N12">
        <v>17</v>
      </c>
      <c r="O12" s="1">
        <v>45336</v>
      </c>
    </row>
    <row r="13" spans="1:15" x14ac:dyDescent="0.3">
      <c r="A13" t="s">
        <v>52</v>
      </c>
      <c r="B13" t="s">
        <v>53</v>
      </c>
      <c r="C13" t="s">
        <v>42</v>
      </c>
      <c r="D13" t="s">
        <v>39</v>
      </c>
      <c r="E13" t="s">
        <v>32</v>
      </c>
      <c r="F13">
        <v>578</v>
      </c>
      <c r="G13">
        <v>8401.34</v>
      </c>
      <c r="H13">
        <v>22470.7</v>
      </c>
      <c r="J13">
        <v>41</v>
      </c>
      <c r="K13">
        <v>1.87</v>
      </c>
      <c r="L13">
        <v>31</v>
      </c>
      <c r="M13">
        <v>8</v>
      </c>
      <c r="N13">
        <v>66</v>
      </c>
      <c r="O13" s="1">
        <v>45652</v>
      </c>
    </row>
    <row r="14" spans="1:15" x14ac:dyDescent="0.3">
      <c r="A14" t="s">
        <v>54</v>
      </c>
      <c r="B14" t="s">
        <v>55</v>
      </c>
      <c r="C14" t="s">
        <v>42</v>
      </c>
      <c r="D14" t="s">
        <v>36</v>
      </c>
      <c r="E14" t="s">
        <v>32</v>
      </c>
      <c r="F14">
        <v>557</v>
      </c>
      <c r="G14">
        <v>10926.51</v>
      </c>
      <c r="H14">
        <v>25633.040000000001</v>
      </c>
      <c r="I14" s="1">
        <v>45703</v>
      </c>
      <c r="J14">
        <v>118</v>
      </c>
      <c r="K14">
        <v>4.4400000000000004</v>
      </c>
      <c r="L14">
        <v>17</v>
      </c>
      <c r="M14">
        <v>10</v>
      </c>
      <c r="N14">
        <v>85</v>
      </c>
      <c r="O14" s="1">
        <v>45737</v>
      </c>
    </row>
    <row r="15" spans="1:15" x14ac:dyDescent="0.3">
      <c r="A15" t="s">
        <v>56</v>
      </c>
      <c r="B15" t="s">
        <v>57</v>
      </c>
      <c r="C15" t="s">
        <v>22</v>
      </c>
      <c r="D15" t="s">
        <v>23</v>
      </c>
      <c r="E15" t="s">
        <v>28</v>
      </c>
      <c r="F15">
        <v>567</v>
      </c>
      <c r="G15">
        <v>16195.52</v>
      </c>
      <c r="H15">
        <v>25965</v>
      </c>
      <c r="I15" s="1">
        <v>45714</v>
      </c>
      <c r="J15">
        <v>56</v>
      </c>
      <c r="K15">
        <v>7.9</v>
      </c>
      <c r="L15">
        <v>35</v>
      </c>
      <c r="M15">
        <v>27</v>
      </c>
      <c r="N15">
        <v>304</v>
      </c>
      <c r="O15" s="1">
        <v>45659</v>
      </c>
    </row>
    <row r="16" spans="1:15" x14ac:dyDescent="0.3">
      <c r="A16" t="s">
        <v>58</v>
      </c>
      <c r="B16" t="s">
        <v>59</v>
      </c>
      <c r="C16" t="s">
        <v>17</v>
      </c>
      <c r="D16" t="s">
        <v>60</v>
      </c>
      <c r="E16" t="s">
        <v>32</v>
      </c>
      <c r="F16">
        <v>291</v>
      </c>
      <c r="G16">
        <v>8183.75</v>
      </c>
      <c r="H16">
        <v>20712.82</v>
      </c>
      <c r="I16" s="1">
        <v>45440</v>
      </c>
      <c r="J16">
        <v>66</v>
      </c>
      <c r="K16">
        <v>2.23</v>
      </c>
      <c r="L16">
        <v>20</v>
      </c>
      <c r="M16">
        <v>20</v>
      </c>
      <c r="N16">
        <v>65</v>
      </c>
      <c r="O16" s="1">
        <v>45690</v>
      </c>
    </row>
    <row r="18" spans="1:15" x14ac:dyDescent="0.3">
      <c r="A18" t="s">
        <v>61</v>
      </c>
      <c r="B18" t="s">
        <v>62</v>
      </c>
      <c r="C18" t="s">
        <v>42</v>
      </c>
      <c r="D18" t="s">
        <v>39</v>
      </c>
      <c r="E18" t="s">
        <v>32</v>
      </c>
      <c r="F18">
        <v>120</v>
      </c>
      <c r="G18">
        <v>9245.0400000000009</v>
      </c>
      <c r="H18">
        <v>11086.24</v>
      </c>
      <c r="I18" s="1">
        <v>45613</v>
      </c>
      <c r="J18">
        <v>20</v>
      </c>
      <c r="K18">
        <v>4.79</v>
      </c>
      <c r="L18">
        <v>30</v>
      </c>
      <c r="M18">
        <v>32</v>
      </c>
      <c r="N18">
        <v>176</v>
      </c>
      <c r="O18" s="1">
        <v>45412</v>
      </c>
    </row>
    <row r="20" spans="1:15" x14ac:dyDescent="0.3">
      <c r="A20" t="s">
        <v>63</v>
      </c>
      <c r="B20" t="s">
        <v>64</v>
      </c>
      <c r="C20" t="s">
        <v>31</v>
      </c>
      <c r="D20" t="s">
        <v>27</v>
      </c>
      <c r="E20" t="s">
        <v>24</v>
      </c>
      <c r="F20">
        <v>596</v>
      </c>
      <c r="G20">
        <v>8775.26</v>
      </c>
      <c r="H20">
        <v>18259.830000000002</v>
      </c>
      <c r="I20" s="1">
        <v>45747</v>
      </c>
      <c r="J20">
        <v>89</v>
      </c>
      <c r="K20">
        <v>7.82</v>
      </c>
      <c r="L20">
        <v>14</v>
      </c>
      <c r="M20">
        <v>6</v>
      </c>
      <c r="N20">
        <v>115</v>
      </c>
      <c r="O20" s="1">
        <v>45334</v>
      </c>
    </row>
    <row r="21" spans="1:15" x14ac:dyDescent="0.3">
      <c r="A21" t="s">
        <v>65</v>
      </c>
      <c r="B21" t="s">
        <v>66</v>
      </c>
      <c r="C21" t="s">
        <v>42</v>
      </c>
      <c r="D21" t="s">
        <v>60</v>
      </c>
      <c r="E21" t="s">
        <v>32</v>
      </c>
      <c r="F21">
        <v>441</v>
      </c>
      <c r="G21">
        <v>3548.82</v>
      </c>
      <c r="H21">
        <v>6544.61</v>
      </c>
      <c r="I21" s="1">
        <v>45731</v>
      </c>
      <c r="J21">
        <v>110</v>
      </c>
      <c r="K21">
        <v>5.4</v>
      </c>
      <c r="L21">
        <v>28</v>
      </c>
      <c r="M21">
        <v>8</v>
      </c>
      <c r="N21">
        <v>159</v>
      </c>
      <c r="O21" s="1">
        <v>45633</v>
      </c>
    </row>
    <row r="22" spans="1:15" x14ac:dyDescent="0.3">
      <c r="A22" t="s">
        <v>67</v>
      </c>
      <c r="B22" t="s">
        <v>68</v>
      </c>
      <c r="C22" t="s">
        <v>17</v>
      </c>
      <c r="D22" t="s">
        <v>36</v>
      </c>
      <c r="E22" t="s">
        <v>24</v>
      </c>
      <c r="F22">
        <v>585</v>
      </c>
      <c r="G22">
        <v>17655.89</v>
      </c>
      <c r="H22">
        <v>46675.83</v>
      </c>
      <c r="I22" s="1">
        <v>45740</v>
      </c>
      <c r="J22">
        <v>10</v>
      </c>
      <c r="K22">
        <v>1.1299999999999999</v>
      </c>
      <c r="L22">
        <v>25</v>
      </c>
      <c r="M22">
        <v>32</v>
      </c>
      <c r="N22">
        <v>60</v>
      </c>
      <c r="O22" s="1">
        <v>45593</v>
      </c>
    </row>
    <row r="23" spans="1:15" x14ac:dyDescent="0.3">
      <c r="A23" t="s">
        <v>69</v>
      </c>
      <c r="B23" t="s">
        <v>70</v>
      </c>
      <c r="C23" t="s">
        <v>42</v>
      </c>
      <c r="D23" t="s">
        <v>18</v>
      </c>
      <c r="E23" t="s">
        <v>24</v>
      </c>
      <c r="F23">
        <v>14</v>
      </c>
      <c r="G23">
        <v>7638.43</v>
      </c>
      <c r="H23">
        <v>12124.94</v>
      </c>
      <c r="I23" s="1">
        <v>45404</v>
      </c>
      <c r="J23">
        <v>20</v>
      </c>
      <c r="K23">
        <v>2.75</v>
      </c>
      <c r="L23">
        <v>27</v>
      </c>
      <c r="M23">
        <v>32</v>
      </c>
      <c r="N23">
        <v>106</v>
      </c>
      <c r="O23" s="1">
        <v>45711</v>
      </c>
    </row>
    <row r="24" spans="1:15" x14ac:dyDescent="0.3">
      <c r="A24" t="s">
        <v>71</v>
      </c>
      <c r="B24" t="s">
        <v>72</v>
      </c>
      <c r="C24" t="s">
        <v>35</v>
      </c>
      <c r="D24" t="s">
        <v>73</v>
      </c>
      <c r="E24" t="s">
        <v>24</v>
      </c>
      <c r="F24">
        <v>132</v>
      </c>
      <c r="G24">
        <v>8442.2199999999993</v>
      </c>
      <c r="H24">
        <v>22467.7</v>
      </c>
      <c r="I24" s="1">
        <v>45418</v>
      </c>
      <c r="J24">
        <v>102</v>
      </c>
      <c r="K24">
        <v>7.9</v>
      </c>
      <c r="L24">
        <v>19</v>
      </c>
      <c r="M24">
        <v>38</v>
      </c>
      <c r="N24">
        <v>188</v>
      </c>
      <c r="O24" s="1">
        <v>45301</v>
      </c>
    </row>
    <row r="25" spans="1:15" x14ac:dyDescent="0.3">
      <c r="A25" t="s">
        <v>74</v>
      </c>
      <c r="B25" t="s">
        <v>75</v>
      </c>
      <c r="C25" t="s">
        <v>17</v>
      </c>
      <c r="D25" t="s">
        <v>23</v>
      </c>
      <c r="E25" t="s">
        <v>28</v>
      </c>
      <c r="F25">
        <v>510</v>
      </c>
      <c r="G25">
        <v>8871.11</v>
      </c>
      <c r="H25">
        <v>20228.12</v>
      </c>
      <c r="I25" s="1">
        <v>45475</v>
      </c>
      <c r="J25">
        <v>2</v>
      </c>
      <c r="K25">
        <v>1.81</v>
      </c>
      <c r="L25">
        <v>7</v>
      </c>
      <c r="M25">
        <v>23</v>
      </c>
      <c r="N25">
        <v>36</v>
      </c>
      <c r="O25" s="1">
        <v>45543</v>
      </c>
    </row>
    <row r="26" spans="1:15" x14ac:dyDescent="0.3">
      <c r="A26" t="s">
        <v>76</v>
      </c>
      <c r="B26" t="s">
        <v>77</v>
      </c>
      <c r="C26" t="s">
        <v>35</v>
      </c>
      <c r="D26" t="s">
        <v>60</v>
      </c>
      <c r="E26" t="s">
        <v>19</v>
      </c>
      <c r="F26">
        <v>600</v>
      </c>
      <c r="G26">
        <v>7357.39</v>
      </c>
      <c r="H26">
        <v>15281.7</v>
      </c>
      <c r="I26" s="1">
        <v>45563</v>
      </c>
      <c r="J26">
        <v>79</v>
      </c>
      <c r="K26">
        <v>5.28</v>
      </c>
      <c r="L26">
        <v>7</v>
      </c>
      <c r="M26">
        <v>31</v>
      </c>
      <c r="N26">
        <v>68</v>
      </c>
      <c r="O26" s="1">
        <v>45625</v>
      </c>
    </row>
    <row r="27" spans="1:15" x14ac:dyDescent="0.3">
      <c r="A27" t="s">
        <v>78</v>
      </c>
      <c r="B27" t="s">
        <v>79</v>
      </c>
      <c r="C27" t="s">
        <v>35</v>
      </c>
      <c r="D27" t="s">
        <v>45</v>
      </c>
      <c r="E27" t="s">
        <v>32</v>
      </c>
      <c r="F27">
        <v>329</v>
      </c>
      <c r="G27">
        <v>1193.93</v>
      </c>
      <c r="H27">
        <v>1459.47</v>
      </c>
      <c r="I27" s="1">
        <v>45684</v>
      </c>
      <c r="J27">
        <v>74</v>
      </c>
      <c r="K27">
        <v>7.36</v>
      </c>
      <c r="L27">
        <v>20</v>
      </c>
      <c r="M27">
        <v>37</v>
      </c>
      <c r="N27">
        <v>184</v>
      </c>
      <c r="O27" s="1">
        <v>45456</v>
      </c>
    </row>
    <row r="28" spans="1:15" x14ac:dyDescent="0.3">
      <c r="A28" t="s">
        <v>80</v>
      </c>
      <c r="B28" t="s">
        <v>81</v>
      </c>
      <c r="C28" t="s">
        <v>31</v>
      </c>
      <c r="D28" t="s">
        <v>18</v>
      </c>
      <c r="E28" t="s">
        <v>24</v>
      </c>
      <c r="F28">
        <v>-9</v>
      </c>
      <c r="G28">
        <v>415.26</v>
      </c>
      <c r="H28">
        <v>631.08000000000004</v>
      </c>
      <c r="I28" s="1">
        <v>45770</v>
      </c>
      <c r="J28">
        <v>6</v>
      </c>
      <c r="K28">
        <v>4.2300000000000004</v>
      </c>
      <c r="L28">
        <v>9</v>
      </c>
      <c r="M28">
        <v>31</v>
      </c>
      <c r="N28">
        <v>69</v>
      </c>
      <c r="O28" s="1">
        <v>45503</v>
      </c>
    </row>
    <row r="29" spans="1:15" x14ac:dyDescent="0.3">
      <c r="A29" t="s">
        <v>82</v>
      </c>
      <c r="B29" t="s">
        <v>83</v>
      </c>
      <c r="C29" t="s">
        <v>22</v>
      </c>
      <c r="D29" t="s">
        <v>27</v>
      </c>
      <c r="E29" t="s">
        <v>32</v>
      </c>
      <c r="F29">
        <v>415</v>
      </c>
      <c r="G29">
        <v>1485.68</v>
      </c>
      <c r="H29">
        <v>2325.44</v>
      </c>
      <c r="I29" s="1">
        <v>45770</v>
      </c>
      <c r="J29">
        <v>109</v>
      </c>
      <c r="K29">
        <v>3.07</v>
      </c>
      <c r="L29">
        <v>15</v>
      </c>
      <c r="M29">
        <v>39</v>
      </c>
      <c r="N29">
        <v>85</v>
      </c>
      <c r="O29" s="1">
        <v>45640</v>
      </c>
    </row>
    <row r="30" spans="1:15" x14ac:dyDescent="0.3">
      <c r="A30" t="s">
        <v>84</v>
      </c>
      <c r="B30" t="s">
        <v>85</v>
      </c>
      <c r="C30" t="s">
        <v>31</v>
      </c>
      <c r="D30" t="s">
        <v>23</v>
      </c>
      <c r="E30" t="s">
        <v>28</v>
      </c>
      <c r="F30">
        <v>187</v>
      </c>
      <c r="G30">
        <v>1758.88</v>
      </c>
      <c r="H30">
        <v>4178.6899999999996</v>
      </c>
      <c r="I30" s="1">
        <v>45710</v>
      </c>
      <c r="J30">
        <v>100</v>
      </c>
      <c r="K30">
        <v>4.2699999999999996</v>
      </c>
      <c r="L30">
        <v>22</v>
      </c>
      <c r="M30">
        <v>28</v>
      </c>
      <c r="N30">
        <v>122</v>
      </c>
      <c r="O30" s="1">
        <v>45378</v>
      </c>
    </row>
    <row r="31" spans="1:15" x14ac:dyDescent="0.3">
      <c r="A31" t="s">
        <v>86</v>
      </c>
      <c r="B31" t="s">
        <v>87</v>
      </c>
      <c r="C31" t="s">
        <v>31</v>
      </c>
      <c r="D31" t="s">
        <v>18</v>
      </c>
      <c r="E31" t="s">
        <v>19</v>
      </c>
      <c r="F31">
        <v>569</v>
      </c>
      <c r="G31">
        <v>1322.43</v>
      </c>
      <c r="H31">
        <v>2887.62</v>
      </c>
      <c r="I31" s="1">
        <v>45608</v>
      </c>
      <c r="J31">
        <v>48</v>
      </c>
      <c r="K31">
        <v>2.39</v>
      </c>
      <c r="L31">
        <v>24</v>
      </c>
      <c r="M31">
        <v>38</v>
      </c>
      <c r="N31">
        <v>95</v>
      </c>
      <c r="O31" s="1">
        <v>45540</v>
      </c>
    </row>
    <row r="32" spans="1:15" x14ac:dyDescent="0.3">
      <c r="A32" t="s">
        <v>88</v>
      </c>
      <c r="B32" t="s">
        <v>89</v>
      </c>
      <c r="C32" t="s">
        <v>22</v>
      </c>
      <c r="D32" t="s">
        <v>39</v>
      </c>
      <c r="E32" t="s">
        <v>24</v>
      </c>
      <c r="F32">
        <v>69</v>
      </c>
      <c r="G32">
        <v>2809.46</v>
      </c>
      <c r="H32">
        <v>3817.94</v>
      </c>
      <c r="I32" s="1">
        <v>45724</v>
      </c>
      <c r="J32">
        <v>39</v>
      </c>
      <c r="K32">
        <v>3.54</v>
      </c>
      <c r="L32">
        <v>24</v>
      </c>
      <c r="M32">
        <v>23</v>
      </c>
      <c r="N32">
        <v>108</v>
      </c>
      <c r="O32" s="1">
        <v>45536</v>
      </c>
    </row>
    <row r="33" spans="1:15" x14ac:dyDescent="0.3">
      <c r="A33" t="s">
        <v>90</v>
      </c>
      <c r="B33" t="s">
        <v>91</v>
      </c>
      <c r="C33" t="s">
        <v>17</v>
      </c>
      <c r="D33" t="s">
        <v>36</v>
      </c>
      <c r="E33" t="s">
        <v>24</v>
      </c>
      <c r="F33">
        <v>265</v>
      </c>
      <c r="G33">
        <v>6054.62</v>
      </c>
      <c r="H33">
        <v>9536.8700000000008</v>
      </c>
      <c r="I33" s="1">
        <v>45757</v>
      </c>
      <c r="J33">
        <v>92</v>
      </c>
      <c r="K33">
        <v>1</v>
      </c>
      <c r="L33">
        <v>11</v>
      </c>
      <c r="M33">
        <v>25</v>
      </c>
      <c r="N33">
        <v>36</v>
      </c>
      <c r="O33" s="1">
        <v>45619</v>
      </c>
    </row>
    <row r="34" spans="1:15" x14ac:dyDescent="0.3">
      <c r="A34" t="s">
        <v>92</v>
      </c>
      <c r="B34" t="s">
        <v>93</v>
      </c>
      <c r="C34" t="s">
        <v>35</v>
      </c>
      <c r="D34" t="s">
        <v>36</v>
      </c>
      <c r="E34" t="s">
        <v>24</v>
      </c>
      <c r="F34">
        <v>262</v>
      </c>
      <c r="G34">
        <v>16765.060000000001</v>
      </c>
      <c r="H34">
        <v>43113.49</v>
      </c>
      <c r="J34">
        <v>100</v>
      </c>
      <c r="K34">
        <v>3.09</v>
      </c>
      <c r="L34">
        <v>27</v>
      </c>
      <c r="M34">
        <v>11</v>
      </c>
      <c r="N34">
        <v>94</v>
      </c>
      <c r="O34" s="1">
        <v>45581</v>
      </c>
    </row>
    <row r="35" spans="1:15" x14ac:dyDescent="0.3">
      <c r="A35" t="s">
        <v>94</v>
      </c>
      <c r="B35" t="s">
        <v>95</v>
      </c>
      <c r="C35" t="s">
        <v>42</v>
      </c>
      <c r="D35" t="s">
        <v>45</v>
      </c>
      <c r="E35" t="s">
        <v>32</v>
      </c>
      <c r="F35">
        <v>356</v>
      </c>
      <c r="G35">
        <v>15943.47</v>
      </c>
      <c r="H35">
        <v>38443.629999999997</v>
      </c>
      <c r="I35" s="1">
        <v>45753</v>
      </c>
      <c r="J35">
        <v>55</v>
      </c>
      <c r="K35">
        <v>0.08</v>
      </c>
      <c r="L35">
        <v>10</v>
      </c>
      <c r="M35">
        <v>34</v>
      </c>
      <c r="N35">
        <v>35</v>
      </c>
      <c r="O35" s="1">
        <v>45315</v>
      </c>
    </row>
    <row r="36" spans="1:15" x14ac:dyDescent="0.3">
      <c r="A36" t="s">
        <v>96</v>
      </c>
      <c r="B36" t="s">
        <v>97</v>
      </c>
      <c r="C36" t="s">
        <v>17</v>
      </c>
      <c r="D36" t="s">
        <v>73</v>
      </c>
      <c r="E36" t="s">
        <v>19</v>
      </c>
      <c r="F36">
        <v>437</v>
      </c>
      <c r="G36">
        <v>5480.24</v>
      </c>
      <c r="H36">
        <v>14347.04</v>
      </c>
      <c r="I36" s="1">
        <v>45503</v>
      </c>
      <c r="J36">
        <v>94</v>
      </c>
      <c r="K36">
        <v>3.93</v>
      </c>
      <c r="L36">
        <v>22</v>
      </c>
      <c r="M36">
        <v>19</v>
      </c>
      <c r="N36">
        <v>105</v>
      </c>
      <c r="O36" s="1">
        <v>45330</v>
      </c>
    </row>
    <row r="37" spans="1:15" x14ac:dyDescent="0.3">
      <c r="A37" t="s">
        <v>98</v>
      </c>
      <c r="B37" t="s">
        <v>99</v>
      </c>
      <c r="C37" t="s">
        <v>42</v>
      </c>
      <c r="D37" t="s">
        <v>36</v>
      </c>
      <c r="E37" t="s">
        <v>19</v>
      </c>
      <c r="F37">
        <v>263</v>
      </c>
      <c r="G37">
        <v>8157.75</v>
      </c>
      <c r="H37">
        <v>12954.15</v>
      </c>
      <c r="I37" s="1">
        <v>45409</v>
      </c>
      <c r="J37">
        <v>9</v>
      </c>
      <c r="K37">
        <v>0.83</v>
      </c>
      <c r="L37">
        <v>19</v>
      </c>
      <c r="M37">
        <v>40</v>
      </c>
      <c r="N37">
        <v>56</v>
      </c>
      <c r="O37" s="1">
        <v>45552</v>
      </c>
    </row>
    <row r="39" spans="1:15" x14ac:dyDescent="0.3">
      <c r="A39" t="s">
        <v>100</v>
      </c>
      <c r="B39" t="s">
        <v>101</v>
      </c>
      <c r="C39" t="s">
        <v>35</v>
      </c>
      <c r="D39" t="s">
        <v>60</v>
      </c>
      <c r="E39" t="s">
        <v>24</v>
      </c>
      <c r="F39">
        <v>396</v>
      </c>
      <c r="G39">
        <v>10046.26</v>
      </c>
      <c r="H39">
        <v>22474.3</v>
      </c>
      <c r="I39" s="1">
        <v>45705</v>
      </c>
      <c r="J39">
        <v>115</v>
      </c>
      <c r="K39">
        <v>3.28</v>
      </c>
      <c r="L39">
        <v>10</v>
      </c>
      <c r="M39">
        <v>24</v>
      </c>
      <c r="N39">
        <v>57</v>
      </c>
      <c r="O39" s="1">
        <v>45534</v>
      </c>
    </row>
    <row r="40" spans="1:15" x14ac:dyDescent="0.3">
      <c r="A40" t="s">
        <v>102</v>
      </c>
      <c r="B40" t="s">
        <v>103</v>
      </c>
      <c r="C40" t="s">
        <v>31</v>
      </c>
      <c r="D40" t="s">
        <v>27</v>
      </c>
      <c r="E40" t="s">
        <v>28</v>
      </c>
      <c r="F40">
        <v>239</v>
      </c>
      <c r="G40">
        <v>2205.7800000000002</v>
      </c>
      <c r="H40">
        <v>2992.08</v>
      </c>
      <c r="I40" s="1">
        <v>45749</v>
      </c>
      <c r="J40">
        <v>92</v>
      </c>
      <c r="K40">
        <v>7.74</v>
      </c>
      <c r="L40">
        <v>26</v>
      </c>
      <c r="M40">
        <v>30</v>
      </c>
      <c r="N40">
        <v>231</v>
      </c>
      <c r="O40" s="1">
        <v>45486</v>
      </c>
    </row>
    <row r="41" spans="1:15" x14ac:dyDescent="0.3">
      <c r="A41" t="s">
        <v>104</v>
      </c>
      <c r="B41" t="s">
        <v>105</v>
      </c>
      <c r="C41" t="s">
        <v>22</v>
      </c>
      <c r="D41" t="s">
        <v>73</v>
      </c>
      <c r="E41" t="s">
        <v>24</v>
      </c>
      <c r="F41">
        <v>337</v>
      </c>
      <c r="G41">
        <v>6084.05</v>
      </c>
      <c r="H41">
        <v>10669.68</v>
      </c>
      <c r="I41" s="1">
        <v>45733</v>
      </c>
      <c r="J41">
        <v>89</v>
      </c>
      <c r="K41">
        <v>1.91</v>
      </c>
      <c r="L41">
        <v>12</v>
      </c>
      <c r="M41">
        <v>29</v>
      </c>
      <c r="N41">
        <v>52</v>
      </c>
      <c r="O41" s="1">
        <v>45421</v>
      </c>
    </row>
    <row r="42" spans="1:15" x14ac:dyDescent="0.3">
      <c r="A42" t="s">
        <v>106</v>
      </c>
      <c r="B42" t="s">
        <v>107</v>
      </c>
      <c r="C42" t="s">
        <v>17</v>
      </c>
      <c r="D42" t="s">
        <v>27</v>
      </c>
      <c r="E42" t="s">
        <v>24</v>
      </c>
      <c r="F42">
        <v>425</v>
      </c>
      <c r="G42">
        <v>12537</v>
      </c>
      <c r="H42">
        <v>15394.24</v>
      </c>
      <c r="I42" s="1">
        <v>45487</v>
      </c>
      <c r="J42">
        <v>59</v>
      </c>
      <c r="K42">
        <v>1.69</v>
      </c>
      <c r="L42">
        <v>18</v>
      </c>
      <c r="M42">
        <v>8</v>
      </c>
      <c r="N42">
        <v>38</v>
      </c>
      <c r="O42" s="1">
        <v>45516</v>
      </c>
    </row>
    <row r="43" spans="1:15" x14ac:dyDescent="0.3">
      <c r="A43" t="s">
        <v>108</v>
      </c>
      <c r="B43" t="s">
        <v>109</v>
      </c>
      <c r="C43" t="s">
        <v>31</v>
      </c>
      <c r="D43" t="s">
        <v>60</v>
      </c>
      <c r="E43" t="s">
        <v>28</v>
      </c>
      <c r="F43">
        <v>294</v>
      </c>
      <c r="G43">
        <v>15031.42</v>
      </c>
      <c r="H43">
        <v>40548.9</v>
      </c>
      <c r="I43" s="1">
        <v>45711</v>
      </c>
      <c r="J43">
        <v>47</v>
      </c>
      <c r="K43">
        <v>3.59</v>
      </c>
      <c r="L43">
        <v>11</v>
      </c>
      <c r="M43">
        <v>33</v>
      </c>
      <c r="N43">
        <v>72</v>
      </c>
      <c r="O43" s="1">
        <v>45729</v>
      </c>
    </row>
    <row r="44" spans="1:15" x14ac:dyDescent="0.3">
      <c r="A44" t="s">
        <v>110</v>
      </c>
      <c r="B44" t="s">
        <v>111</v>
      </c>
      <c r="C44" t="s">
        <v>17</v>
      </c>
      <c r="D44" t="s">
        <v>39</v>
      </c>
      <c r="E44" t="s">
        <v>19</v>
      </c>
      <c r="F44">
        <v>206</v>
      </c>
      <c r="G44">
        <v>9514.77</v>
      </c>
      <c r="H44">
        <v>12263.43</v>
      </c>
      <c r="I44" s="1">
        <v>45750</v>
      </c>
      <c r="J44">
        <v>46</v>
      </c>
      <c r="K44">
        <v>0.16</v>
      </c>
      <c r="L44">
        <v>10</v>
      </c>
      <c r="M44">
        <v>24</v>
      </c>
      <c r="N44">
        <v>26</v>
      </c>
      <c r="O44" s="1">
        <v>45434</v>
      </c>
    </row>
    <row r="45" spans="1:15" x14ac:dyDescent="0.3">
      <c r="A45" t="s">
        <v>112</v>
      </c>
      <c r="B45" t="s">
        <v>113</v>
      </c>
      <c r="C45" t="s">
        <v>35</v>
      </c>
      <c r="D45" t="s">
        <v>18</v>
      </c>
      <c r="E45" t="s">
        <v>24</v>
      </c>
      <c r="F45">
        <v>597</v>
      </c>
      <c r="G45">
        <v>11061.24</v>
      </c>
      <c r="H45">
        <v>20851.53</v>
      </c>
      <c r="I45" s="1">
        <v>45440</v>
      </c>
      <c r="J45">
        <v>89</v>
      </c>
      <c r="K45">
        <v>3.23</v>
      </c>
      <c r="L45">
        <v>17</v>
      </c>
      <c r="M45">
        <v>36</v>
      </c>
      <c r="N45">
        <v>91</v>
      </c>
      <c r="O45" s="1">
        <v>45648</v>
      </c>
    </row>
    <row r="46" spans="1:15" x14ac:dyDescent="0.3">
      <c r="A46" t="s">
        <v>114</v>
      </c>
      <c r="B46" t="s">
        <v>115</v>
      </c>
      <c r="C46" t="s">
        <v>35</v>
      </c>
      <c r="D46" t="s">
        <v>18</v>
      </c>
      <c r="E46" t="s">
        <v>19</v>
      </c>
      <c r="F46">
        <v>-20</v>
      </c>
      <c r="G46">
        <v>11672.19</v>
      </c>
      <c r="H46">
        <v>31290.23</v>
      </c>
      <c r="I46" s="1">
        <v>45693</v>
      </c>
      <c r="J46">
        <v>72</v>
      </c>
      <c r="K46">
        <v>4.32</v>
      </c>
      <c r="L46">
        <v>8</v>
      </c>
      <c r="M46">
        <v>9</v>
      </c>
      <c r="N46">
        <v>44</v>
      </c>
      <c r="O46" s="1">
        <v>45571</v>
      </c>
    </row>
    <row r="47" spans="1:15" x14ac:dyDescent="0.3">
      <c r="A47" t="s">
        <v>116</v>
      </c>
      <c r="B47" t="s">
        <v>117</v>
      </c>
      <c r="C47" t="s">
        <v>31</v>
      </c>
      <c r="D47" t="s">
        <v>18</v>
      </c>
      <c r="E47" t="s">
        <v>24</v>
      </c>
      <c r="F47">
        <v>388</v>
      </c>
      <c r="G47">
        <v>12159.99</v>
      </c>
      <c r="H47">
        <v>25561.040000000001</v>
      </c>
      <c r="I47" s="1">
        <v>45495</v>
      </c>
      <c r="J47">
        <v>29</v>
      </c>
      <c r="K47">
        <v>4.9800000000000004</v>
      </c>
      <c r="L47">
        <v>20</v>
      </c>
      <c r="M47">
        <v>6</v>
      </c>
      <c r="N47">
        <v>106</v>
      </c>
      <c r="O47" s="1">
        <v>45295</v>
      </c>
    </row>
    <row r="49" spans="1:15" x14ac:dyDescent="0.3">
      <c r="A49" t="s">
        <v>118</v>
      </c>
      <c r="B49" t="s">
        <v>119</v>
      </c>
      <c r="C49" t="s">
        <v>22</v>
      </c>
      <c r="D49" t="s">
        <v>23</v>
      </c>
      <c r="E49" t="s">
        <v>24</v>
      </c>
      <c r="F49">
        <v>124</v>
      </c>
      <c r="G49">
        <v>7432.63</v>
      </c>
      <c r="H49">
        <v>18831.03</v>
      </c>
      <c r="I49" s="1">
        <v>45727</v>
      </c>
      <c r="J49">
        <v>15</v>
      </c>
      <c r="K49">
        <v>4.01</v>
      </c>
      <c r="L49">
        <v>25</v>
      </c>
      <c r="M49">
        <v>14</v>
      </c>
      <c r="N49">
        <v>114</v>
      </c>
      <c r="O49" s="1">
        <v>45636</v>
      </c>
    </row>
    <row r="51" spans="1:15" x14ac:dyDescent="0.3">
      <c r="A51" t="s">
        <v>120</v>
      </c>
      <c r="B51" t="s">
        <v>121</v>
      </c>
      <c r="C51" t="s">
        <v>31</v>
      </c>
      <c r="D51" t="s">
        <v>73</v>
      </c>
      <c r="E51" t="s">
        <v>19</v>
      </c>
      <c r="F51">
        <v>319</v>
      </c>
      <c r="G51">
        <v>7438.08</v>
      </c>
      <c r="H51">
        <v>20155.11</v>
      </c>
      <c r="I51" s="1">
        <v>45754</v>
      </c>
      <c r="J51">
        <v>14</v>
      </c>
      <c r="K51">
        <v>7.1</v>
      </c>
      <c r="L51">
        <v>8</v>
      </c>
      <c r="M51">
        <v>20</v>
      </c>
      <c r="N51">
        <v>77</v>
      </c>
      <c r="O51" s="1">
        <v>45307</v>
      </c>
    </row>
    <row r="52" spans="1:15" x14ac:dyDescent="0.3">
      <c r="A52" t="s">
        <v>122</v>
      </c>
      <c r="B52" t="s">
        <v>123</v>
      </c>
      <c r="C52" t="s">
        <v>31</v>
      </c>
      <c r="D52" t="s">
        <v>23</v>
      </c>
      <c r="E52" t="s">
        <v>32</v>
      </c>
      <c r="F52">
        <v>232</v>
      </c>
      <c r="G52">
        <v>13996.98</v>
      </c>
      <c r="H52">
        <v>34533.99</v>
      </c>
      <c r="I52" s="1">
        <v>45765</v>
      </c>
      <c r="J52">
        <v>79</v>
      </c>
      <c r="K52">
        <v>5.04</v>
      </c>
      <c r="L52">
        <v>13</v>
      </c>
      <c r="M52">
        <v>13</v>
      </c>
      <c r="N52">
        <v>79</v>
      </c>
      <c r="O52" s="1">
        <v>45464</v>
      </c>
    </row>
    <row r="53" spans="1:15" x14ac:dyDescent="0.3">
      <c r="A53" t="s">
        <v>124</v>
      </c>
      <c r="B53" t="s">
        <v>125</v>
      </c>
      <c r="C53" t="s">
        <v>42</v>
      </c>
      <c r="D53" t="s">
        <v>73</v>
      </c>
      <c r="E53" t="s">
        <v>19</v>
      </c>
      <c r="F53">
        <v>78</v>
      </c>
      <c r="G53">
        <v>17053.05</v>
      </c>
      <c r="H53">
        <v>33022.620000000003</v>
      </c>
      <c r="I53" s="1">
        <v>45393</v>
      </c>
      <c r="J53">
        <v>68</v>
      </c>
      <c r="K53">
        <v>1.07</v>
      </c>
      <c r="L53">
        <v>29</v>
      </c>
      <c r="M53">
        <v>13</v>
      </c>
      <c r="N53">
        <v>44</v>
      </c>
      <c r="O53" s="1">
        <v>45285</v>
      </c>
    </row>
    <row r="54" spans="1:15" x14ac:dyDescent="0.3">
      <c r="A54" t="s">
        <v>126</v>
      </c>
      <c r="B54" t="s">
        <v>127</v>
      </c>
      <c r="C54" t="s">
        <v>31</v>
      </c>
      <c r="D54" t="s">
        <v>45</v>
      </c>
      <c r="E54" t="s">
        <v>32</v>
      </c>
      <c r="F54">
        <v>159</v>
      </c>
      <c r="G54">
        <v>10616.94</v>
      </c>
      <c r="H54">
        <v>16046.84</v>
      </c>
      <c r="I54" s="1">
        <v>45768</v>
      </c>
      <c r="J54">
        <v>76</v>
      </c>
      <c r="K54">
        <v>6.87</v>
      </c>
      <c r="L54">
        <v>5</v>
      </c>
      <c r="M54">
        <v>22</v>
      </c>
      <c r="N54">
        <v>56</v>
      </c>
      <c r="O54" s="1">
        <v>45422</v>
      </c>
    </row>
    <row r="55" spans="1:15" x14ac:dyDescent="0.3">
      <c r="A55" t="s">
        <v>128</v>
      </c>
      <c r="B55" t="s">
        <v>129</v>
      </c>
      <c r="C55" t="s">
        <v>42</v>
      </c>
      <c r="D55" t="s">
        <v>73</v>
      </c>
      <c r="E55" t="s">
        <v>24</v>
      </c>
      <c r="F55">
        <v>413</v>
      </c>
      <c r="G55">
        <v>15793.16</v>
      </c>
      <c r="H55">
        <v>35078.769999999997</v>
      </c>
      <c r="I55" s="1">
        <v>45756</v>
      </c>
      <c r="J55">
        <v>82</v>
      </c>
      <c r="K55">
        <v>2.16</v>
      </c>
      <c r="L55">
        <v>19</v>
      </c>
      <c r="M55">
        <v>14</v>
      </c>
      <c r="N55">
        <v>55</v>
      </c>
      <c r="O55" s="1">
        <v>45575</v>
      </c>
    </row>
    <row r="56" spans="1:15" x14ac:dyDescent="0.3">
      <c r="A56" t="s">
        <v>130</v>
      </c>
      <c r="B56" t="s">
        <v>131</v>
      </c>
      <c r="C56" t="s">
        <v>17</v>
      </c>
      <c r="D56" t="s">
        <v>23</v>
      </c>
      <c r="E56" t="s">
        <v>19</v>
      </c>
      <c r="F56">
        <v>559</v>
      </c>
      <c r="G56">
        <v>17383.71</v>
      </c>
      <c r="H56">
        <v>43072.92</v>
      </c>
      <c r="I56" s="1">
        <v>45416</v>
      </c>
      <c r="J56">
        <v>59</v>
      </c>
      <c r="K56">
        <v>2.61</v>
      </c>
      <c r="L56">
        <v>18</v>
      </c>
      <c r="M56">
        <v>22</v>
      </c>
      <c r="N56">
        <v>69</v>
      </c>
      <c r="O56" s="1">
        <v>45376</v>
      </c>
    </row>
    <row r="57" spans="1:15" x14ac:dyDescent="0.3">
      <c r="A57" t="s">
        <v>132</v>
      </c>
      <c r="B57" t="s">
        <v>133</v>
      </c>
      <c r="C57" t="s">
        <v>17</v>
      </c>
      <c r="D57" t="s">
        <v>39</v>
      </c>
      <c r="E57" t="s">
        <v>32</v>
      </c>
      <c r="F57">
        <v>392</v>
      </c>
      <c r="G57">
        <v>16730.64</v>
      </c>
      <c r="H57">
        <v>44260.639999999999</v>
      </c>
      <c r="I57" s="1">
        <v>45670</v>
      </c>
      <c r="J57">
        <v>91</v>
      </c>
      <c r="K57">
        <v>4.76</v>
      </c>
      <c r="L57">
        <v>11</v>
      </c>
      <c r="M57">
        <v>9</v>
      </c>
      <c r="N57">
        <v>61</v>
      </c>
      <c r="O57" s="1">
        <v>45353</v>
      </c>
    </row>
    <row r="58" spans="1:15" x14ac:dyDescent="0.3">
      <c r="A58" t="s">
        <v>134</v>
      </c>
      <c r="B58" t="s">
        <v>135</v>
      </c>
      <c r="C58" t="s">
        <v>22</v>
      </c>
      <c r="D58" t="s">
        <v>23</v>
      </c>
      <c r="E58" t="s">
        <v>28</v>
      </c>
      <c r="F58">
        <v>511</v>
      </c>
      <c r="G58">
        <v>5115.09</v>
      </c>
      <c r="H58">
        <v>9474.61</v>
      </c>
      <c r="I58" s="1">
        <v>45745</v>
      </c>
      <c r="J58">
        <v>60</v>
      </c>
      <c r="K58">
        <v>2.7</v>
      </c>
      <c r="L58">
        <v>16</v>
      </c>
      <c r="M58">
        <v>31</v>
      </c>
      <c r="N58">
        <v>74</v>
      </c>
      <c r="O58" s="1">
        <v>45421</v>
      </c>
    </row>
    <row r="59" spans="1:15" x14ac:dyDescent="0.3">
      <c r="A59" t="s">
        <v>136</v>
      </c>
      <c r="B59" t="s">
        <v>137</v>
      </c>
      <c r="C59" t="s">
        <v>35</v>
      </c>
      <c r="D59" t="s">
        <v>27</v>
      </c>
      <c r="E59" t="s">
        <v>28</v>
      </c>
      <c r="F59">
        <v>160</v>
      </c>
      <c r="G59">
        <v>7784.21</v>
      </c>
      <c r="H59">
        <v>5972.87</v>
      </c>
      <c r="I59" s="1">
        <v>45722</v>
      </c>
      <c r="J59">
        <v>106</v>
      </c>
      <c r="K59">
        <v>1.23</v>
      </c>
      <c r="L59">
        <v>16</v>
      </c>
      <c r="M59">
        <v>40</v>
      </c>
      <c r="N59">
        <v>60</v>
      </c>
      <c r="O59" s="1">
        <v>45653</v>
      </c>
    </row>
    <row r="60" spans="1:15" x14ac:dyDescent="0.3">
      <c r="A60" t="s">
        <v>138</v>
      </c>
      <c r="B60" t="s">
        <v>139</v>
      </c>
      <c r="C60" t="s">
        <v>22</v>
      </c>
      <c r="D60" t="s">
        <v>36</v>
      </c>
      <c r="E60" t="s">
        <v>24</v>
      </c>
      <c r="F60">
        <v>297</v>
      </c>
      <c r="G60">
        <v>8537.94</v>
      </c>
      <c r="H60">
        <v>6969.21</v>
      </c>
      <c r="I60" s="1">
        <v>45725</v>
      </c>
      <c r="J60">
        <v>58</v>
      </c>
      <c r="K60">
        <v>7.4</v>
      </c>
      <c r="L60">
        <v>7</v>
      </c>
      <c r="M60">
        <v>19</v>
      </c>
      <c r="N60">
        <v>71</v>
      </c>
      <c r="O60" s="1">
        <v>45702</v>
      </c>
    </row>
    <row r="61" spans="1:15" x14ac:dyDescent="0.3">
      <c r="A61" t="s">
        <v>54</v>
      </c>
      <c r="B61" t="s">
        <v>140</v>
      </c>
      <c r="C61" t="s">
        <v>35</v>
      </c>
      <c r="D61" t="s">
        <v>39</v>
      </c>
      <c r="E61" t="s">
        <v>19</v>
      </c>
      <c r="F61">
        <v>525</v>
      </c>
      <c r="G61">
        <v>6270.41</v>
      </c>
      <c r="H61">
        <v>16007.69</v>
      </c>
      <c r="I61" s="1">
        <v>45752</v>
      </c>
      <c r="J61">
        <v>115</v>
      </c>
      <c r="K61">
        <v>0.78</v>
      </c>
      <c r="L61">
        <v>34</v>
      </c>
      <c r="M61">
        <v>8</v>
      </c>
      <c r="N61">
        <v>35</v>
      </c>
      <c r="O61" s="1">
        <v>45381</v>
      </c>
    </row>
    <row r="62" spans="1:15" x14ac:dyDescent="0.3">
      <c r="A62" t="s">
        <v>141</v>
      </c>
      <c r="B62" t="s">
        <v>142</v>
      </c>
      <c r="C62" t="s">
        <v>31</v>
      </c>
      <c r="D62" t="s">
        <v>27</v>
      </c>
      <c r="E62" t="s">
        <v>28</v>
      </c>
      <c r="F62">
        <v>237</v>
      </c>
      <c r="G62">
        <v>10465.85</v>
      </c>
      <c r="H62">
        <v>23268.9</v>
      </c>
      <c r="I62" s="1">
        <v>45711</v>
      </c>
      <c r="J62">
        <v>44</v>
      </c>
      <c r="K62">
        <v>2.97</v>
      </c>
      <c r="L62">
        <v>32</v>
      </c>
      <c r="M62">
        <v>40</v>
      </c>
      <c r="N62">
        <v>135</v>
      </c>
      <c r="O62" s="1">
        <v>45746</v>
      </c>
    </row>
    <row r="63" spans="1:15" x14ac:dyDescent="0.3">
      <c r="A63" t="s">
        <v>143</v>
      </c>
      <c r="B63" t="s">
        <v>144</v>
      </c>
      <c r="C63" t="s">
        <v>42</v>
      </c>
      <c r="D63" t="s">
        <v>36</v>
      </c>
      <c r="E63" t="s">
        <v>32</v>
      </c>
      <c r="F63">
        <v>390</v>
      </c>
      <c r="G63">
        <v>12464.14</v>
      </c>
      <c r="H63">
        <v>22314.639999999999</v>
      </c>
      <c r="I63" s="1">
        <v>45780</v>
      </c>
      <c r="J63">
        <v>66</v>
      </c>
      <c r="K63">
        <v>2.02</v>
      </c>
      <c r="L63">
        <v>19</v>
      </c>
      <c r="M63">
        <v>12</v>
      </c>
      <c r="N63">
        <v>50</v>
      </c>
      <c r="O63" s="1">
        <v>45724</v>
      </c>
    </row>
    <row r="64" spans="1:15" x14ac:dyDescent="0.3">
      <c r="A64" t="s">
        <v>145</v>
      </c>
      <c r="B64" t="s">
        <v>146</v>
      </c>
      <c r="C64" t="s">
        <v>35</v>
      </c>
      <c r="D64" t="s">
        <v>27</v>
      </c>
      <c r="E64" t="s">
        <v>19</v>
      </c>
      <c r="F64">
        <v>424</v>
      </c>
      <c r="G64">
        <v>1984.87</v>
      </c>
      <c r="H64">
        <v>5171.2700000000004</v>
      </c>
      <c r="I64" s="1">
        <v>45753</v>
      </c>
      <c r="J64">
        <v>95</v>
      </c>
      <c r="K64">
        <v>6.92</v>
      </c>
      <c r="L64">
        <v>9</v>
      </c>
      <c r="M64">
        <v>20</v>
      </c>
      <c r="N64">
        <v>82</v>
      </c>
      <c r="O64" s="1">
        <v>45383</v>
      </c>
    </row>
    <row r="65" spans="1:15" x14ac:dyDescent="0.3">
      <c r="A65" t="s">
        <v>147</v>
      </c>
      <c r="B65" t="s">
        <v>148</v>
      </c>
      <c r="C65" t="s">
        <v>22</v>
      </c>
      <c r="D65" t="s">
        <v>23</v>
      </c>
      <c r="E65" t="s">
        <v>28</v>
      </c>
      <c r="F65">
        <v>192</v>
      </c>
      <c r="G65">
        <v>4508.92</v>
      </c>
      <c r="H65">
        <v>10214.620000000001</v>
      </c>
      <c r="I65" s="1">
        <v>45710</v>
      </c>
      <c r="J65">
        <v>10</v>
      </c>
      <c r="K65">
        <v>4.9800000000000004</v>
      </c>
      <c r="L65">
        <v>24</v>
      </c>
      <c r="M65">
        <v>29</v>
      </c>
      <c r="N65">
        <v>149</v>
      </c>
      <c r="O65" s="1">
        <v>45525</v>
      </c>
    </row>
    <row r="66" spans="1:15" x14ac:dyDescent="0.3">
      <c r="A66" t="s">
        <v>149</v>
      </c>
      <c r="B66" t="s">
        <v>150</v>
      </c>
      <c r="C66" t="s">
        <v>22</v>
      </c>
      <c r="D66" t="s">
        <v>23</v>
      </c>
      <c r="E66" t="s">
        <v>19</v>
      </c>
      <c r="F66">
        <v>147</v>
      </c>
      <c r="G66">
        <v>6997.01</v>
      </c>
      <c r="H66">
        <v>13811.01</v>
      </c>
      <c r="I66" s="1">
        <v>45740</v>
      </c>
      <c r="J66">
        <v>35</v>
      </c>
      <c r="K66">
        <v>2.75</v>
      </c>
      <c r="L66">
        <v>29</v>
      </c>
      <c r="M66">
        <v>31</v>
      </c>
      <c r="N66">
        <v>111</v>
      </c>
      <c r="O66" s="1">
        <v>45532</v>
      </c>
    </row>
    <row r="67" spans="1:15" x14ac:dyDescent="0.3">
      <c r="A67" t="s">
        <v>151</v>
      </c>
      <c r="B67" t="s">
        <v>152</v>
      </c>
      <c r="C67" t="s">
        <v>22</v>
      </c>
      <c r="D67" t="s">
        <v>45</v>
      </c>
      <c r="E67" t="s">
        <v>24</v>
      </c>
      <c r="F67">
        <v>34</v>
      </c>
      <c r="G67">
        <v>16026.2</v>
      </c>
      <c r="H67">
        <v>34203.74</v>
      </c>
      <c r="I67" s="1">
        <v>45663</v>
      </c>
      <c r="J67">
        <v>86</v>
      </c>
      <c r="K67">
        <v>8</v>
      </c>
      <c r="L67">
        <v>31</v>
      </c>
      <c r="M67">
        <v>6</v>
      </c>
      <c r="N67">
        <v>254</v>
      </c>
      <c r="O67" s="1">
        <v>45495</v>
      </c>
    </row>
    <row r="68" spans="1:15" x14ac:dyDescent="0.3">
      <c r="A68" t="s">
        <v>153</v>
      </c>
      <c r="B68" t="s">
        <v>154</v>
      </c>
      <c r="C68" t="s">
        <v>35</v>
      </c>
      <c r="D68" t="s">
        <v>36</v>
      </c>
      <c r="E68" t="s">
        <v>19</v>
      </c>
      <c r="F68">
        <v>181</v>
      </c>
      <c r="G68">
        <v>9274.4599999999991</v>
      </c>
      <c r="H68">
        <v>25342.63</v>
      </c>
      <c r="I68" s="1">
        <v>45738</v>
      </c>
      <c r="J68">
        <v>36</v>
      </c>
      <c r="K68">
        <v>0.79</v>
      </c>
      <c r="L68">
        <v>21</v>
      </c>
      <c r="M68">
        <v>26</v>
      </c>
      <c r="N68">
        <v>43</v>
      </c>
      <c r="O68" s="1">
        <v>45748</v>
      </c>
    </row>
    <row r="69" spans="1:15" x14ac:dyDescent="0.3">
      <c r="A69" t="s">
        <v>155</v>
      </c>
      <c r="B69" t="s">
        <v>156</v>
      </c>
      <c r="C69" t="s">
        <v>42</v>
      </c>
      <c r="D69" t="s">
        <v>23</v>
      </c>
      <c r="E69" t="s">
        <v>19</v>
      </c>
      <c r="F69">
        <v>80</v>
      </c>
      <c r="G69">
        <v>4236.6099999999997</v>
      </c>
      <c r="H69">
        <v>10863.46</v>
      </c>
      <c r="I69" s="1">
        <v>45773</v>
      </c>
      <c r="J69">
        <v>35</v>
      </c>
      <c r="K69">
        <v>1.75</v>
      </c>
      <c r="L69">
        <v>26</v>
      </c>
      <c r="M69">
        <v>36</v>
      </c>
      <c r="N69">
        <v>82</v>
      </c>
      <c r="O69" s="1">
        <v>45359</v>
      </c>
    </row>
    <row r="70" spans="1:15" x14ac:dyDescent="0.3">
      <c r="A70" t="s">
        <v>157</v>
      </c>
      <c r="B70" t="s">
        <v>158</v>
      </c>
      <c r="C70" t="s">
        <v>42</v>
      </c>
      <c r="D70" t="s">
        <v>18</v>
      </c>
      <c r="E70" t="s">
        <v>19</v>
      </c>
      <c r="F70">
        <v>111</v>
      </c>
      <c r="G70">
        <v>5315.58</v>
      </c>
      <c r="H70">
        <v>8032.31</v>
      </c>
      <c r="I70" s="1">
        <v>45750</v>
      </c>
      <c r="J70">
        <v>58</v>
      </c>
      <c r="K70">
        <v>1.34</v>
      </c>
      <c r="L70">
        <v>25</v>
      </c>
      <c r="M70">
        <v>28</v>
      </c>
      <c r="N70">
        <v>62</v>
      </c>
      <c r="O70" s="1">
        <v>45487</v>
      </c>
    </row>
    <row r="71" spans="1:15" x14ac:dyDescent="0.3">
      <c r="A71" t="s">
        <v>159</v>
      </c>
      <c r="B71" t="s">
        <v>160</v>
      </c>
      <c r="C71" t="s">
        <v>31</v>
      </c>
      <c r="D71" t="s">
        <v>27</v>
      </c>
      <c r="E71" t="s">
        <v>28</v>
      </c>
      <c r="F71">
        <v>583</v>
      </c>
      <c r="G71">
        <v>14640.08</v>
      </c>
      <c r="H71">
        <v>30821.19</v>
      </c>
      <c r="I71" s="1">
        <v>45493</v>
      </c>
      <c r="J71">
        <v>85</v>
      </c>
      <c r="K71">
        <v>2.86</v>
      </c>
      <c r="L71">
        <v>8</v>
      </c>
      <c r="M71">
        <v>31</v>
      </c>
      <c r="N71">
        <v>54</v>
      </c>
      <c r="O71" s="1">
        <v>45453</v>
      </c>
    </row>
    <row r="72" spans="1:15" x14ac:dyDescent="0.3">
      <c r="A72" t="s">
        <v>161</v>
      </c>
      <c r="B72" t="s">
        <v>162</v>
      </c>
      <c r="C72" t="s">
        <v>42</v>
      </c>
      <c r="D72" t="s">
        <v>60</v>
      </c>
      <c r="E72" t="s">
        <v>28</v>
      </c>
      <c r="F72">
        <v>173</v>
      </c>
      <c r="G72">
        <v>11555.25</v>
      </c>
      <c r="H72">
        <v>15908.92</v>
      </c>
      <c r="I72" s="1">
        <v>45748</v>
      </c>
      <c r="J72">
        <v>99</v>
      </c>
      <c r="K72">
        <v>7.35</v>
      </c>
      <c r="L72">
        <v>34</v>
      </c>
      <c r="M72">
        <v>38</v>
      </c>
      <c r="N72">
        <v>288</v>
      </c>
      <c r="O72" s="1">
        <v>45638</v>
      </c>
    </row>
    <row r="73" spans="1:15" x14ac:dyDescent="0.3">
      <c r="A73" t="s">
        <v>163</v>
      </c>
      <c r="B73" t="s">
        <v>164</v>
      </c>
      <c r="C73" t="s">
        <v>22</v>
      </c>
      <c r="D73" t="s">
        <v>36</v>
      </c>
      <c r="E73" t="s">
        <v>19</v>
      </c>
      <c r="F73">
        <v>60</v>
      </c>
      <c r="G73">
        <v>11264.01</v>
      </c>
      <c r="H73">
        <v>20980.67</v>
      </c>
      <c r="I73" s="1">
        <v>45498</v>
      </c>
      <c r="J73">
        <v>70</v>
      </c>
      <c r="K73">
        <v>3.53</v>
      </c>
      <c r="L73">
        <v>9</v>
      </c>
      <c r="M73">
        <v>23</v>
      </c>
      <c r="N73">
        <v>55</v>
      </c>
      <c r="O73" s="1">
        <v>45601</v>
      </c>
    </row>
    <row r="74" spans="1:15" x14ac:dyDescent="0.3">
      <c r="A74" t="s">
        <v>165</v>
      </c>
      <c r="B74" t="s">
        <v>166</v>
      </c>
      <c r="C74" t="s">
        <v>31</v>
      </c>
      <c r="D74" t="s">
        <v>18</v>
      </c>
      <c r="E74" t="s">
        <v>32</v>
      </c>
      <c r="F74">
        <v>105</v>
      </c>
      <c r="G74">
        <v>7536.57</v>
      </c>
      <c r="H74">
        <v>13489.46</v>
      </c>
      <c r="I74" s="1">
        <v>45737</v>
      </c>
      <c r="J74">
        <v>40</v>
      </c>
      <c r="K74">
        <v>3.03</v>
      </c>
      <c r="L74">
        <v>26</v>
      </c>
      <c r="M74">
        <v>21</v>
      </c>
      <c r="N74">
        <v>100</v>
      </c>
      <c r="O74" s="1">
        <v>45539</v>
      </c>
    </row>
    <row r="75" spans="1:15" x14ac:dyDescent="0.3">
      <c r="A75" t="s">
        <v>167</v>
      </c>
      <c r="B75" t="s">
        <v>168</v>
      </c>
      <c r="C75" t="s">
        <v>35</v>
      </c>
      <c r="D75" t="s">
        <v>45</v>
      </c>
      <c r="E75" t="s">
        <v>28</v>
      </c>
      <c r="F75">
        <v>-18</v>
      </c>
      <c r="G75">
        <v>15032.35</v>
      </c>
      <c r="H75">
        <v>32283.759999999998</v>
      </c>
      <c r="I75" s="1">
        <v>45700</v>
      </c>
      <c r="J75">
        <v>38</v>
      </c>
      <c r="K75">
        <v>7.51</v>
      </c>
      <c r="L75">
        <v>34</v>
      </c>
      <c r="M75">
        <v>11</v>
      </c>
      <c r="N75">
        <v>266</v>
      </c>
      <c r="O75" s="1">
        <v>45616</v>
      </c>
    </row>
    <row r="77" spans="1:15" x14ac:dyDescent="0.3">
      <c r="A77" t="s">
        <v>98</v>
      </c>
      <c r="B77" t="s">
        <v>169</v>
      </c>
      <c r="C77" t="s">
        <v>42</v>
      </c>
      <c r="D77" t="s">
        <v>36</v>
      </c>
      <c r="E77" t="s">
        <v>32</v>
      </c>
      <c r="F77">
        <v>112</v>
      </c>
      <c r="G77">
        <v>13386.68</v>
      </c>
      <c r="H77">
        <v>18131.240000000002</v>
      </c>
      <c r="J77">
        <v>114</v>
      </c>
      <c r="K77">
        <v>4.74</v>
      </c>
      <c r="L77">
        <v>22</v>
      </c>
      <c r="M77">
        <v>10</v>
      </c>
      <c r="N77">
        <v>114</v>
      </c>
      <c r="O77" s="1">
        <v>45473</v>
      </c>
    </row>
    <row r="78" spans="1:15" x14ac:dyDescent="0.3">
      <c r="A78" t="s">
        <v>170</v>
      </c>
      <c r="B78" t="s">
        <v>171</v>
      </c>
      <c r="C78" t="s">
        <v>17</v>
      </c>
      <c r="D78" t="s">
        <v>23</v>
      </c>
      <c r="E78" t="s">
        <v>24</v>
      </c>
      <c r="F78">
        <v>95</v>
      </c>
      <c r="G78">
        <v>2858.33</v>
      </c>
      <c r="H78">
        <v>7759.03</v>
      </c>
      <c r="I78" s="1">
        <v>45773</v>
      </c>
      <c r="J78">
        <v>15</v>
      </c>
      <c r="K78">
        <v>4.87</v>
      </c>
      <c r="L78">
        <v>22</v>
      </c>
      <c r="M78">
        <v>31</v>
      </c>
      <c r="N78">
        <v>138</v>
      </c>
      <c r="O78" s="1">
        <v>45608</v>
      </c>
    </row>
    <row r="79" spans="1:15" x14ac:dyDescent="0.3">
      <c r="A79" t="s">
        <v>172</v>
      </c>
      <c r="B79" t="s">
        <v>173</v>
      </c>
      <c r="C79" t="s">
        <v>17</v>
      </c>
      <c r="D79" t="s">
        <v>23</v>
      </c>
      <c r="E79" t="s">
        <v>32</v>
      </c>
      <c r="F79">
        <v>498</v>
      </c>
      <c r="G79">
        <v>1981.19</v>
      </c>
      <c r="H79">
        <v>1615.46</v>
      </c>
      <c r="I79" s="1">
        <v>45759</v>
      </c>
      <c r="J79">
        <v>23</v>
      </c>
      <c r="K79">
        <v>2.06</v>
      </c>
      <c r="L79">
        <v>35</v>
      </c>
      <c r="M79">
        <v>8</v>
      </c>
      <c r="N79">
        <v>80</v>
      </c>
      <c r="O79" s="1">
        <v>45465</v>
      </c>
    </row>
    <row r="80" spans="1:15" x14ac:dyDescent="0.3">
      <c r="A80" t="s">
        <v>174</v>
      </c>
      <c r="B80" t="s">
        <v>175</v>
      </c>
      <c r="C80" t="s">
        <v>17</v>
      </c>
      <c r="D80" t="s">
        <v>27</v>
      </c>
      <c r="E80" t="s">
        <v>19</v>
      </c>
      <c r="F80">
        <v>340</v>
      </c>
      <c r="G80">
        <v>12077.16</v>
      </c>
      <c r="H80">
        <v>23555.71</v>
      </c>
      <c r="I80" s="1">
        <v>45725</v>
      </c>
      <c r="J80">
        <v>27</v>
      </c>
      <c r="K80">
        <v>2.76</v>
      </c>
      <c r="L80">
        <v>16</v>
      </c>
      <c r="M80">
        <v>21</v>
      </c>
      <c r="N80">
        <v>65</v>
      </c>
      <c r="O80" s="1">
        <v>45717</v>
      </c>
    </row>
    <row r="81" spans="1:15" x14ac:dyDescent="0.3">
      <c r="A81" t="s">
        <v>176</v>
      </c>
      <c r="B81" t="s">
        <v>177</v>
      </c>
      <c r="C81" t="s">
        <v>17</v>
      </c>
      <c r="D81" t="s">
        <v>27</v>
      </c>
      <c r="E81" t="s">
        <v>32</v>
      </c>
      <c r="F81">
        <v>266</v>
      </c>
      <c r="G81">
        <v>6917.4</v>
      </c>
      <c r="H81">
        <v>17415.47</v>
      </c>
      <c r="I81" s="1">
        <v>45686</v>
      </c>
      <c r="J81">
        <v>60</v>
      </c>
      <c r="K81">
        <v>0.46</v>
      </c>
      <c r="L81">
        <v>5</v>
      </c>
      <c r="M81">
        <v>39</v>
      </c>
      <c r="N81">
        <v>41</v>
      </c>
      <c r="O81" s="1">
        <v>45634</v>
      </c>
    </row>
    <row r="82" spans="1:15" x14ac:dyDescent="0.3">
      <c r="A82" t="s">
        <v>178</v>
      </c>
      <c r="B82" t="s">
        <v>179</v>
      </c>
      <c r="C82" t="s">
        <v>35</v>
      </c>
      <c r="D82" t="s">
        <v>60</v>
      </c>
      <c r="E82" t="s">
        <v>32</v>
      </c>
      <c r="F82">
        <v>416</v>
      </c>
      <c r="G82">
        <v>15703.12</v>
      </c>
      <c r="H82">
        <v>34999.99</v>
      </c>
      <c r="I82" s="1">
        <v>45689</v>
      </c>
      <c r="J82">
        <v>110</v>
      </c>
      <c r="K82">
        <v>2.84</v>
      </c>
      <c r="L82">
        <v>7</v>
      </c>
      <c r="M82">
        <v>22</v>
      </c>
      <c r="N82">
        <v>42</v>
      </c>
      <c r="O82" s="1">
        <v>45701</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91B2-6C24-41B5-821F-032BDEA6F2F9}">
  <sheetPr filterMode="1">
    <tabColor theme="0" tint="-0.249977111117893"/>
  </sheetPr>
  <dimension ref="A1:O82"/>
  <sheetViews>
    <sheetView workbookViewId="0">
      <selection activeCell="I50" sqref="I50"/>
    </sheetView>
  </sheetViews>
  <sheetFormatPr defaultRowHeight="14.4" x14ac:dyDescent="0.3"/>
  <cols>
    <col min="1" max="1" width="14.21875" customWidth="1"/>
    <col min="2" max="2" width="16" customWidth="1"/>
    <col min="7" max="7" width="20.109375" customWidth="1"/>
    <col min="8" max="8" width="22.44140625" customWidth="1"/>
    <col min="9" max="9" width="15.664062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hidden="1" x14ac:dyDescent="0.3">
      <c r="A2" t="s">
        <v>15</v>
      </c>
      <c r="B2" t="s">
        <v>16</v>
      </c>
      <c r="C2" t="s">
        <v>17</v>
      </c>
      <c r="D2" t="s">
        <v>18</v>
      </c>
      <c r="E2" t="s">
        <v>19</v>
      </c>
      <c r="F2">
        <v>125</v>
      </c>
      <c r="G2">
        <v>11240.84</v>
      </c>
      <c r="H2">
        <v>21532.76</v>
      </c>
      <c r="I2" s="1">
        <v>45673</v>
      </c>
      <c r="J2">
        <v>27</v>
      </c>
      <c r="K2">
        <v>6.15</v>
      </c>
      <c r="L2">
        <v>19</v>
      </c>
      <c r="M2">
        <v>21</v>
      </c>
      <c r="N2">
        <v>138</v>
      </c>
      <c r="O2" s="1">
        <v>45601</v>
      </c>
    </row>
    <row r="3" spans="1:15" x14ac:dyDescent="0.3">
      <c r="A3" t="s">
        <v>20</v>
      </c>
      <c r="B3" t="s">
        <v>21</v>
      </c>
      <c r="C3" t="s">
        <v>22</v>
      </c>
      <c r="D3" t="s">
        <v>23</v>
      </c>
      <c r="E3" t="s">
        <v>24</v>
      </c>
      <c r="F3">
        <v>266</v>
      </c>
      <c r="G3">
        <v>13724.92</v>
      </c>
      <c r="H3">
        <v>10571.67</v>
      </c>
      <c r="J3">
        <v>98</v>
      </c>
      <c r="K3">
        <v>6.61</v>
      </c>
      <c r="L3">
        <v>17</v>
      </c>
      <c r="M3">
        <v>37</v>
      </c>
      <c r="N3">
        <v>149</v>
      </c>
      <c r="O3" s="1">
        <v>45733</v>
      </c>
    </row>
    <row r="4" spans="1:15" hidden="1" x14ac:dyDescent="0.3">
      <c r="A4" t="s">
        <v>25</v>
      </c>
      <c r="B4" t="s">
        <v>26</v>
      </c>
      <c r="C4" t="s">
        <v>22</v>
      </c>
      <c r="D4" t="s">
        <v>27</v>
      </c>
      <c r="E4" t="s">
        <v>28</v>
      </c>
      <c r="F4">
        <v>108</v>
      </c>
      <c r="G4">
        <v>5279.72</v>
      </c>
      <c r="H4">
        <v>6714.94</v>
      </c>
      <c r="I4" s="1">
        <v>45745</v>
      </c>
      <c r="J4">
        <v>90</v>
      </c>
      <c r="K4">
        <v>3.58</v>
      </c>
      <c r="L4">
        <v>32</v>
      </c>
      <c r="M4">
        <v>11</v>
      </c>
      <c r="N4">
        <v>126</v>
      </c>
      <c r="O4" s="1">
        <v>45577</v>
      </c>
    </row>
    <row r="5" spans="1:15" hidden="1" x14ac:dyDescent="0.3">
      <c r="A5" t="s">
        <v>29</v>
      </c>
      <c r="B5" t="s">
        <v>30</v>
      </c>
      <c r="C5" t="s">
        <v>31</v>
      </c>
      <c r="D5" t="s">
        <v>23</v>
      </c>
      <c r="E5" t="s">
        <v>32</v>
      </c>
      <c r="F5">
        <v>316</v>
      </c>
      <c r="G5">
        <v>13131.29</v>
      </c>
      <c r="H5">
        <v>29242.82</v>
      </c>
      <c r="I5" s="1">
        <v>45661</v>
      </c>
      <c r="J5">
        <v>3</v>
      </c>
      <c r="K5">
        <v>6.79</v>
      </c>
      <c r="L5">
        <v>6</v>
      </c>
      <c r="M5">
        <v>35</v>
      </c>
      <c r="N5">
        <v>76</v>
      </c>
      <c r="O5" s="1">
        <v>45300</v>
      </c>
    </row>
    <row r="6" spans="1:15" hidden="1" x14ac:dyDescent="0.3">
      <c r="A6" t="s">
        <v>33</v>
      </c>
      <c r="B6" t="s">
        <v>34</v>
      </c>
      <c r="C6" t="s">
        <v>35</v>
      </c>
      <c r="D6" t="s">
        <v>36</v>
      </c>
      <c r="E6" t="s">
        <v>28</v>
      </c>
      <c r="F6">
        <v>119</v>
      </c>
      <c r="G6">
        <v>3337.44</v>
      </c>
      <c r="H6">
        <v>5226.38</v>
      </c>
      <c r="I6" s="1">
        <v>45766</v>
      </c>
      <c r="J6">
        <v>44</v>
      </c>
      <c r="K6">
        <v>3.52</v>
      </c>
      <c r="L6">
        <v>28</v>
      </c>
      <c r="M6">
        <v>25</v>
      </c>
      <c r="N6">
        <v>124</v>
      </c>
      <c r="O6" s="1">
        <v>45738</v>
      </c>
    </row>
    <row r="7" spans="1:15" hidden="1" x14ac:dyDescent="0.3">
      <c r="A7" t="s">
        <v>37</v>
      </c>
      <c r="B7" t="s">
        <v>38</v>
      </c>
      <c r="C7" t="s">
        <v>35</v>
      </c>
      <c r="D7" t="s">
        <v>39</v>
      </c>
      <c r="E7" t="s">
        <v>24</v>
      </c>
      <c r="F7">
        <v>209</v>
      </c>
      <c r="G7">
        <v>9430.58</v>
      </c>
      <c r="H7">
        <v>21444.38</v>
      </c>
      <c r="I7" s="1">
        <v>45774</v>
      </c>
      <c r="J7">
        <v>8</v>
      </c>
      <c r="K7">
        <v>5</v>
      </c>
      <c r="L7">
        <v>35</v>
      </c>
      <c r="M7">
        <v>26</v>
      </c>
      <c r="N7">
        <v>201</v>
      </c>
      <c r="O7" s="1">
        <v>45593</v>
      </c>
    </row>
    <row r="8" spans="1:15" hidden="1" x14ac:dyDescent="0.3">
      <c r="A8" t="s">
        <v>40</v>
      </c>
      <c r="B8" t="s">
        <v>41</v>
      </c>
      <c r="C8" t="s">
        <v>42</v>
      </c>
      <c r="D8" t="s">
        <v>23</v>
      </c>
      <c r="E8" t="s">
        <v>19</v>
      </c>
      <c r="F8">
        <v>10</v>
      </c>
      <c r="G8">
        <v>15584.01</v>
      </c>
      <c r="H8">
        <v>21764.48</v>
      </c>
      <c r="I8" s="1">
        <v>45738</v>
      </c>
      <c r="J8">
        <v>33</v>
      </c>
      <c r="K8">
        <v>2.3199999999999998</v>
      </c>
      <c r="L8">
        <v>34</v>
      </c>
      <c r="M8">
        <v>34</v>
      </c>
      <c r="N8">
        <v>113</v>
      </c>
      <c r="O8" s="1">
        <v>45663</v>
      </c>
    </row>
    <row r="9" spans="1:15" hidden="1" x14ac:dyDescent="0.3">
      <c r="A9" t="s">
        <v>43</v>
      </c>
      <c r="B9" t="s">
        <v>44</v>
      </c>
      <c r="C9" t="s">
        <v>22</v>
      </c>
      <c r="D9" t="s">
        <v>45</v>
      </c>
      <c r="E9" t="s">
        <v>24</v>
      </c>
      <c r="F9">
        <v>522</v>
      </c>
      <c r="G9">
        <v>17657.599999999999</v>
      </c>
      <c r="H9">
        <v>20874.689999999999</v>
      </c>
      <c r="I9" s="1">
        <v>45754</v>
      </c>
      <c r="J9">
        <v>42</v>
      </c>
      <c r="K9">
        <v>7</v>
      </c>
      <c r="L9">
        <v>32</v>
      </c>
      <c r="M9">
        <v>11</v>
      </c>
      <c r="N9">
        <v>235</v>
      </c>
      <c r="O9" s="1">
        <v>45315</v>
      </c>
    </row>
    <row r="10" spans="1:15" hidden="1" x14ac:dyDescent="0.3">
      <c r="A10" t="s">
        <v>46</v>
      </c>
      <c r="B10" t="s">
        <v>47</v>
      </c>
      <c r="C10" t="s">
        <v>17</v>
      </c>
      <c r="D10" t="s">
        <v>23</v>
      </c>
      <c r="E10" t="s">
        <v>19</v>
      </c>
      <c r="F10">
        <v>78</v>
      </c>
      <c r="G10">
        <v>883.08</v>
      </c>
      <c r="H10">
        <v>1970.47</v>
      </c>
      <c r="I10" s="1">
        <v>45749</v>
      </c>
      <c r="J10">
        <v>43</v>
      </c>
      <c r="K10">
        <v>6.59</v>
      </c>
      <c r="L10">
        <v>5</v>
      </c>
      <c r="M10">
        <v>31</v>
      </c>
      <c r="N10">
        <v>64</v>
      </c>
      <c r="O10" s="1">
        <v>45538</v>
      </c>
    </row>
    <row r="11" spans="1:15" hidden="1" x14ac:dyDescent="0.3">
      <c r="A11" t="s">
        <v>48</v>
      </c>
      <c r="B11" t="s">
        <v>49</v>
      </c>
      <c r="C11" t="s">
        <v>22</v>
      </c>
      <c r="D11" t="s">
        <v>45</v>
      </c>
      <c r="E11" t="s">
        <v>32</v>
      </c>
      <c r="F11">
        <v>109</v>
      </c>
      <c r="G11">
        <v>5601.04</v>
      </c>
      <c r="H11">
        <v>12009.64</v>
      </c>
      <c r="I11" s="1">
        <v>45761</v>
      </c>
      <c r="J11">
        <v>26</v>
      </c>
      <c r="K11">
        <v>2.15</v>
      </c>
      <c r="L11">
        <v>25</v>
      </c>
      <c r="M11">
        <v>18</v>
      </c>
      <c r="N11">
        <v>72</v>
      </c>
      <c r="O11" s="1">
        <v>45551</v>
      </c>
    </row>
    <row r="12" spans="1:15" hidden="1" x14ac:dyDescent="0.3">
      <c r="A12" t="s">
        <v>50</v>
      </c>
      <c r="B12" t="s">
        <v>51</v>
      </c>
      <c r="C12" t="s">
        <v>31</v>
      </c>
      <c r="D12" t="s">
        <v>36</v>
      </c>
      <c r="E12" t="s">
        <v>32</v>
      </c>
      <c r="F12">
        <v>101</v>
      </c>
      <c r="G12">
        <v>17432.490000000002</v>
      </c>
      <c r="H12">
        <v>43662.13</v>
      </c>
      <c r="I12" s="1">
        <v>45708</v>
      </c>
      <c r="J12">
        <v>82</v>
      </c>
      <c r="K12">
        <v>0.45</v>
      </c>
      <c r="L12">
        <v>25</v>
      </c>
      <c r="M12">
        <v>6</v>
      </c>
      <c r="N12">
        <v>17</v>
      </c>
      <c r="O12" s="1">
        <v>45336</v>
      </c>
    </row>
    <row r="13" spans="1:15" x14ac:dyDescent="0.3">
      <c r="A13" t="s">
        <v>52</v>
      </c>
      <c r="B13" t="s">
        <v>53</v>
      </c>
      <c r="C13" t="s">
        <v>42</v>
      </c>
      <c r="D13" t="s">
        <v>39</v>
      </c>
      <c r="E13" t="s">
        <v>32</v>
      </c>
      <c r="F13">
        <v>578</v>
      </c>
      <c r="G13">
        <v>8401.34</v>
      </c>
      <c r="H13">
        <v>22470.7</v>
      </c>
      <c r="J13">
        <v>41</v>
      </c>
      <c r="K13">
        <v>1.87</v>
      </c>
      <c r="L13">
        <v>31</v>
      </c>
      <c r="M13">
        <v>8</v>
      </c>
      <c r="N13">
        <v>66</v>
      </c>
      <c r="O13" s="1">
        <v>45652</v>
      </c>
    </row>
    <row r="14" spans="1:15" hidden="1" x14ac:dyDescent="0.3">
      <c r="A14" t="s">
        <v>54</v>
      </c>
      <c r="B14" t="s">
        <v>55</v>
      </c>
      <c r="C14" t="s">
        <v>42</v>
      </c>
      <c r="D14" t="s">
        <v>36</v>
      </c>
      <c r="E14" t="s">
        <v>32</v>
      </c>
      <c r="F14">
        <v>557</v>
      </c>
      <c r="G14">
        <v>10926.51</v>
      </c>
      <c r="H14">
        <v>25633.040000000001</v>
      </c>
      <c r="I14" s="1">
        <v>45703</v>
      </c>
      <c r="J14">
        <v>118</v>
      </c>
      <c r="K14">
        <v>4.4400000000000004</v>
      </c>
      <c r="L14">
        <v>17</v>
      </c>
      <c r="M14">
        <v>10</v>
      </c>
      <c r="N14">
        <v>85</v>
      </c>
      <c r="O14" s="1">
        <v>45737</v>
      </c>
    </row>
    <row r="15" spans="1:15" hidden="1" x14ac:dyDescent="0.3">
      <c r="A15" t="s">
        <v>56</v>
      </c>
      <c r="B15" t="s">
        <v>57</v>
      </c>
      <c r="C15" t="s">
        <v>22</v>
      </c>
      <c r="D15" t="s">
        <v>23</v>
      </c>
      <c r="E15" t="s">
        <v>28</v>
      </c>
      <c r="F15">
        <v>567</v>
      </c>
      <c r="G15">
        <v>16195.52</v>
      </c>
      <c r="H15">
        <v>25965</v>
      </c>
      <c r="I15" s="1">
        <v>45714</v>
      </c>
      <c r="J15">
        <v>56</v>
      </c>
      <c r="K15">
        <v>7.9</v>
      </c>
      <c r="L15">
        <v>35</v>
      </c>
      <c r="M15">
        <v>27</v>
      </c>
      <c r="N15">
        <v>304</v>
      </c>
      <c r="O15" s="1">
        <v>45659</v>
      </c>
    </row>
    <row r="16" spans="1:15" hidden="1" x14ac:dyDescent="0.3">
      <c r="A16" t="s">
        <v>58</v>
      </c>
      <c r="B16" t="s">
        <v>59</v>
      </c>
      <c r="C16" t="s">
        <v>17</v>
      </c>
      <c r="D16" t="s">
        <v>60</v>
      </c>
      <c r="E16" t="s">
        <v>32</v>
      </c>
      <c r="F16">
        <v>291</v>
      </c>
      <c r="G16">
        <v>8183.75</v>
      </c>
      <c r="H16">
        <v>20712.82</v>
      </c>
      <c r="I16" s="1">
        <v>45440</v>
      </c>
      <c r="J16">
        <v>66</v>
      </c>
      <c r="K16">
        <v>2.23</v>
      </c>
      <c r="L16">
        <v>20</v>
      </c>
      <c r="M16">
        <v>20</v>
      </c>
      <c r="N16">
        <v>65</v>
      </c>
      <c r="O16" s="1">
        <v>45690</v>
      </c>
    </row>
    <row r="18" spans="1:15" x14ac:dyDescent="0.3">
      <c r="A18" t="s">
        <v>61</v>
      </c>
      <c r="B18" t="s">
        <v>62</v>
      </c>
      <c r="C18" t="s">
        <v>42</v>
      </c>
      <c r="D18" t="s">
        <v>39</v>
      </c>
      <c r="E18" t="s">
        <v>32</v>
      </c>
      <c r="F18">
        <v>120</v>
      </c>
      <c r="G18">
        <v>9245.0400000000009</v>
      </c>
      <c r="H18">
        <v>11086.24</v>
      </c>
      <c r="I18" s="1">
        <v>45613</v>
      </c>
      <c r="J18">
        <v>20</v>
      </c>
      <c r="K18">
        <v>4.79</v>
      </c>
      <c r="L18">
        <v>30</v>
      </c>
      <c r="M18">
        <v>32</v>
      </c>
      <c r="N18">
        <v>176</v>
      </c>
      <c r="O18" s="1">
        <v>45412</v>
      </c>
    </row>
    <row r="20" spans="1:15" x14ac:dyDescent="0.3">
      <c r="A20" t="s">
        <v>63</v>
      </c>
      <c r="B20" t="s">
        <v>64</v>
      </c>
      <c r="C20" t="s">
        <v>31</v>
      </c>
      <c r="D20" t="s">
        <v>27</v>
      </c>
      <c r="E20" t="s">
        <v>24</v>
      </c>
      <c r="F20">
        <v>596</v>
      </c>
      <c r="G20">
        <v>8775.26</v>
      </c>
      <c r="H20">
        <v>18259.830000000002</v>
      </c>
      <c r="I20" s="1">
        <v>45747</v>
      </c>
      <c r="J20">
        <v>89</v>
      </c>
      <c r="K20">
        <v>7.82</v>
      </c>
      <c r="L20">
        <v>14</v>
      </c>
      <c r="M20">
        <v>6</v>
      </c>
      <c r="N20">
        <v>115</v>
      </c>
      <c r="O20" s="1">
        <v>45334</v>
      </c>
    </row>
    <row r="21" spans="1:15" x14ac:dyDescent="0.3">
      <c r="A21" t="s">
        <v>65</v>
      </c>
      <c r="B21" t="s">
        <v>66</v>
      </c>
      <c r="C21" t="s">
        <v>42</v>
      </c>
      <c r="D21" t="s">
        <v>60</v>
      </c>
      <c r="E21" t="s">
        <v>32</v>
      </c>
      <c r="F21">
        <v>441</v>
      </c>
      <c r="G21">
        <v>3548.82</v>
      </c>
      <c r="H21">
        <v>6544.61</v>
      </c>
      <c r="I21" s="1">
        <v>45731</v>
      </c>
      <c r="J21">
        <v>110</v>
      </c>
      <c r="K21">
        <v>5.4</v>
      </c>
      <c r="L21">
        <v>28</v>
      </c>
      <c r="M21">
        <v>8</v>
      </c>
      <c r="N21">
        <v>159</v>
      </c>
      <c r="O21" s="1">
        <v>45633</v>
      </c>
    </row>
    <row r="22" spans="1:15" x14ac:dyDescent="0.3">
      <c r="A22" t="s">
        <v>67</v>
      </c>
      <c r="B22" t="s">
        <v>68</v>
      </c>
      <c r="C22" t="s">
        <v>17</v>
      </c>
      <c r="D22" t="s">
        <v>36</v>
      </c>
      <c r="E22" t="s">
        <v>24</v>
      </c>
      <c r="F22">
        <v>585</v>
      </c>
      <c r="G22">
        <v>17655.89</v>
      </c>
      <c r="H22">
        <v>46675.83</v>
      </c>
      <c r="I22" s="1">
        <v>45740</v>
      </c>
      <c r="J22">
        <v>10</v>
      </c>
      <c r="K22">
        <v>1.1299999999999999</v>
      </c>
      <c r="L22">
        <v>25</v>
      </c>
      <c r="M22">
        <v>32</v>
      </c>
      <c r="N22">
        <v>60</v>
      </c>
      <c r="O22" s="1">
        <v>45593</v>
      </c>
    </row>
    <row r="23" spans="1:15" x14ac:dyDescent="0.3">
      <c r="A23" t="s">
        <v>69</v>
      </c>
      <c r="B23" t="s">
        <v>70</v>
      </c>
      <c r="C23" t="s">
        <v>42</v>
      </c>
      <c r="D23" t="s">
        <v>18</v>
      </c>
      <c r="E23" t="s">
        <v>24</v>
      </c>
      <c r="F23">
        <v>14</v>
      </c>
      <c r="G23">
        <v>7638.43</v>
      </c>
      <c r="H23">
        <v>12124.94</v>
      </c>
      <c r="I23" s="1">
        <v>45404</v>
      </c>
      <c r="J23">
        <v>20</v>
      </c>
      <c r="K23">
        <v>2.75</v>
      </c>
      <c r="L23">
        <v>27</v>
      </c>
      <c r="M23">
        <v>32</v>
      </c>
      <c r="N23">
        <v>106</v>
      </c>
      <c r="O23" s="1">
        <v>45711</v>
      </c>
    </row>
    <row r="24" spans="1:15" x14ac:dyDescent="0.3">
      <c r="A24" t="s">
        <v>71</v>
      </c>
      <c r="B24" t="s">
        <v>72</v>
      </c>
      <c r="C24" t="s">
        <v>35</v>
      </c>
      <c r="D24" t="s">
        <v>73</v>
      </c>
      <c r="E24" t="s">
        <v>24</v>
      </c>
      <c r="F24">
        <v>132</v>
      </c>
      <c r="G24">
        <v>8442.2199999999993</v>
      </c>
      <c r="H24">
        <v>22467.7</v>
      </c>
      <c r="I24" s="1">
        <v>45418</v>
      </c>
      <c r="J24">
        <v>102</v>
      </c>
      <c r="K24">
        <v>7.9</v>
      </c>
      <c r="L24">
        <v>19</v>
      </c>
      <c r="M24">
        <v>38</v>
      </c>
      <c r="N24">
        <v>188</v>
      </c>
      <c r="O24" s="1">
        <v>45301</v>
      </c>
    </row>
    <row r="25" spans="1:15" x14ac:dyDescent="0.3">
      <c r="A25" t="s">
        <v>74</v>
      </c>
      <c r="B25" t="s">
        <v>75</v>
      </c>
      <c r="C25" t="s">
        <v>17</v>
      </c>
      <c r="D25" t="s">
        <v>23</v>
      </c>
      <c r="E25" t="s">
        <v>28</v>
      </c>
      <c r="F25">
        <v>510</v>
      </c>
      <c r="G25">
        <v>8871.11</v>
      </c>
      <c r="H25">
        <v>20228.12</v>
      </c>
      <c r="I25" s="1">
        <v>45475</v>
      </c>
      <c r="J25">
        <v>2</v>
      </c>
      <c r="K25">
        <v>1.81</v>
      </c>
      <c r="L25">
        <v>7</v>
      </c>
      <c r="M25">
        <v>23</v>
      </c>
      <c r="N25">
        <v>36</v>
      </c>
      <c r="O25" s="1">
        <v>45543</v>
      </c>
    </row>
    <row r="26" spans="1:15" x14ac:dyDescent="0.3">
      <c r="A26" t="s">
        <v>76</v>
      </c>
      <c r="B26" t="s">
        <v>77</v>
      </c>
      <c r="C26" t="s">
        <v>35</v>
      </c>
      <c r="D26" t="s">
        <v>60</v>
      </c>
      <c r="E26" t="s">
        <v>19</v>
      </c>
      <c r="F26">
        <v>600</v>
      </c>
      <c r="G26">
        <v>7357.39</v>
      </c>
      <c r="H26">
        <v>15281.7</v>
      </c>
      <c r="I26" s="1">
        <v>45563</v>
      </c>
      <c r="J26">
        <v>79</v>
      </c>
      <c r="K26">
        <v>5.28</v>
      </c>
      <c r="L26">
        <v>7</v>
      </c>
      <c r="M26">
        <v>31</v>
      </c>
      <c r="N26">
        <v>68</v>
      </c>
      <c r="O26" s="1">
        <v>45625</v>
      </c>
    </row>
    <row r="27" spans="1:15" x14ac:dyDescent="0.3">
      <c r="A27" t="s">
        <v>78</v>
      </c>
      <c r="B27" t="s">
        <v>79</v>
      </c>
      <c r="C27" t="s">
        <v>35</v>
      </c>
      <c r="D27" t="s">
        <v>45</v>
      </c>
      <c r="E27" t="s">
        <v>32</v>
      </c>
      <c r="F27">
        <v>329</v>
      </c>
      <c r="G27">
        <v>1193.93</v>
      </c>
      <c r="H27">
        <v>1459.47</v>
      </c>
      <c r="I27" s="1">
        <v>45684</v>
      </c>
      <c r="J27">
        <v>74</v>
      </c>
      <c r="K27">
        <v>7.36</v>
      </c>
      <c r="L27">
        <v>20</v>
      </c>
      <c r="M27">
        <v>37</v>
      </c>
      <c r="N27">
        <v>184</v>
      </c>
      <c r="O27" s="1">
        <v>45456</v>
      </c>
    </row>
    <row r="28" spans="1:15" x14ac:dyDescent="0.3">
      <c r="A28" t="s">
        <v>80</v>
      </c>
      <c r="B28" t="s">
        <v>81</v>
      </c>
      <c r="C28" t="s">
        <v>31</v>
      </c>
      <c r="D28" t="s">
        <v>18</v>
      </c>
      <c r="E28" t="s">
        <v>24</v>
      </c>
      <c r="F28">
        <v>-9</v>
      </c>
      <c r="G28">
        <v>415.26</v>
      </c>
      <c r="H28">
        <v>631.08000000000004</v>
      </c>
      <c r="I28" s="1">
        <v>45770</v>
      </c>
      <c r="J28">
        <v>6</v>
      </c>
      <c r="K28">
        <v>4.2300000000000004</v>
      </c>
      <c r="L28">
        <v>9</v>
      </c>
      <c r="M28">
        <v>31</v>
      </c>
      <c r="N28">
        <v>69</v>
      </c>
      <c r="O28" s="1">
        <v>45503</v>
      </c>
    </row>
    <row r="29" spans="1:15" x14ac:dyDescent="0.3">
      <c r="A29" t="s">
        <v>82</v>
      </c>
      <c r="B29" t="s">
        <v>83</v>
      </c>
      <c r="C29" t="s">
        <v>22</v>
      </c>
      <c r="D29" t="s">
        <v>27</v>
      </c>
      <c r="E29" t="s">
        <v>32</v>
      </c>
      <c r="F29">
        <v>415</v>
      </c>
      <c r="G29">
        <v>1485.68</v>
      </c>
      <c r="H29">
        <v>2325.44</v>
      </c>
      <c r="I29" s="1">
        <v>45770</v>
      </c>
      <c r="J29">
        <v>109</v>
      </c>
      <c r="K29">
        <v>3.07</v>
      </c>
      <c r="L29">
        <v>15</v>
      </c>
      <c r="M29">
        <v>39</v>
      </c>
      <c r="N29">
        <v>85</v>
      </c>
      <c r="O29" s="1">
        <v>45640</v>
      </c>
    </row>
    <row r="30" spans="1:15" x14ac:dyDescent="0.3">
      <c r="A30" t="s">
        <v>84</v>
      </c>
      <c r="B30" t="s">
        <v>85</v>
      </c>
      <c r="C30" t="s">
        <v>31</v>
      </c>
      <c r="D30" t="s">
        <v>23</v>
      </c>
      <c r="E30" t="s">
        <v>28</v>
      </c>
      <c r="F30">
        <v>187</v>
      </c>
      <c r="G30">
        <v>1758.88</v>
      </c>
      <c r="H30">
        <v>4178.6899999999996</v>
      </c>
      <c r="I30" s="1">
        <v>45710</v>
      </c>
      <c r="J30">
        <v>100</v>
      </c>
      <c r="K30">
        <v>4.2699999999999996</v>
      </c>
      <c r="L30">
        <v>22</v>
      </c>
      <c r="M30">
        <v>28</v>
      </c>
      <c r="N30">
        <v>122</v>
      </c>
      <c r="O30" s="1">
        <v>45378</v>
      </c>
    </row>
    <row r="31" spans="1:15" x14ac:dyDescent="0.3">
      <c r="A31" t="s">
        <v>86</v>
      </c>
      <c r="B31" t="s">
        <v>87</v>
      </c>
      <c r="C31" t="s">
        <v>31</v>
      </c>
      <c r="D31" t="s">
        <v>18</v>
      </c>
      <c r="E31" t="s">
        <v>19</v>
      </c>
      <c r="F31">
        <v>569</v>
      </c>
      <c r="G31">
        <v>1322.43</v>
      </c>
      <c r="H31">
        <v>2887.62</v>
      </c>
      <c r="I31" s="1">
        <v>45608</v>
      </c>
      <c r="J31">
        <v>48</v>
      </c>
      <c r="K31">
        <v>2.39</v>
      </c>
      <c r="L31">
        <v>24</v>
      </c>
      <c r="M31">
        <v>38</v>
      </c>
      <c r="N31">
        <v>95</v>
      </c>
      <c r="O31" s="1">
        <v>45540</v>
      </c>
    </row>
    <row r="32" spans="1:15" x14ac:dyDescent="0.3">
      <c r="A32" t="s">
        <v>88</v>
      </c>
      <c r="B32" t="s">
        <v>89</v>
      </c>
      <c r="C32" t="s">
        <v>22</v>
      </c>
      <c r="D32" t="s">
        <v>39</v>
      </c>
      <c r="E32" t="s">
        <v>24</v>
      </c>
      <c r="F32">
        <v>69</v>
      </c>
      <c r="G32">
        <v>2809.46</v>
      </c>
      <c r="H32">
        <v>3817.94</v>
      </c>
      <c r="I32" s="1">
        <v>45724</v>
      </c>
      <c r="J32">
        <v>39</v>
      </c>
      <c r="K32">
        <v>3.54</v>
      </c>
      <c r="L32">
        <v>24</v>
      </c>
      <c r="M32">
        <v>23</v>
      </c>
      <c r="N32">
        <v>108</v>
      </c>
      <c r="O32" s="1">
        <v>45536</v>
      </c>
    </row>
    <row r="33" spans="1:15" x14ac:dyDescent="0.3">
      <c r="A33" t="s">
        <v>90</v>
      </c>
      <c r="B33" t="s">
        <v>91</v>
      </c>
      <c r="C33" t="s">
        <v>17</v>
      </c>
      <c r="D33" t="s">
        <v>36</v>
      </c>
      <c r="E33" t="s">
        <v>24</v>
      </c>
      <c r="F33">
        <v>265</v>
      </c>
      <c r="G33">
        <v>6054.62</v>
      </c>
      <c r="H33">
        <v>9536.8700000000008</v>
      </c>
      <c r="I33" s="1">
        <v>45757</v>
      </c>
      <c r="J33">
        <v>92</v>
      </c>
      <c r="K33">
        <v>1</v>
      </c>
      <c r="L33">
        <v>11</v>
      </c>
      <c r="M33">
        <v>25</v>
      </c>
      <c r="N33">
        <v>36</v>
      </c>
      <c r="O33" s="1">
        <v>45619</v>
      </c>
    </row>
    <row r="34" spans="1:15" x14ac:dyDescent="0.3">
      <c r="A34" t="s">
        <v>92</v>
      </c>
      <c r="B34" t="s">
        <v>93</v>
      </c>
      <c r="C34" t="s">
        <v>35</v>
      </c>
      <c r="D34" t="s">
        <v>36</v>
      </c>
      <c r="E34" t="s">
        <v>24</v>
      </c>
      <c r="F34">
        <v>262</v>
      </c>
      <c r="G34">
        <v>16765.060000000001</v>
      </c>
      <c r="H34">
        <v>43113.49</v>
      </c>
      <c r="J34">
        <v>100</v>
      </c>
      <c r="K34">
        <v>3.09</v>
      </c>
      <c r="L34">
        <v>27</v>
      </c>
      <c r="M34">
        <v>11</v>
      </c>
      <c r="N34">
        <v>94</v>
      </c>
      <c r="O34" s="1">
        <v>45581</v>
      </c>
    </row>
    <row r="35" spans="1:15" x14ac:dyDescent="0.3">
      <c r="A35" t="s">
        <v>94</v>
      </c>
      <c r="B35" t="s">
        <v>95</v>
      </c>
      <c r="C35" t="s">
        <v>42</v>
      </c>
      <c r="D35" t="s">
        <v>45</v>
      </c>
      <c r="E35" t="s">
        <v>32</v>
      </c>
      <c r="F35">
        <v>356</v>
      </c>
      <c r="G35">
        <v>15943.47</v>
      </c>
      <c r="H35">
        <v>38443.629999999997</v>
      </c>
      <c r="I35" s="1">
        <v>45753</v>
      </c>
      <c r="J35">
        <v>55</v>
      </c>
      <c r="K35">
        <v>0.08</v>
      </c>
      <c r="L35">
        <v>10</v>
      </c>
      <c r="M35">
        <v>34</v>
      </c>
      <c r="N35">
        <v>35</v>
      </c>
      <c r="O35" s="1">
        <v>45315</v>
      </c>
    </row>
    <row r="36" spans="1:15" x14ac:dyDescent="0.3">
      <c r="A36" t="s">
        <v>96</v>
      </c>
      <c r="B36" t="s">
        <v>97</v>
      </c>
      <c r="C36" t="s">
        <v>17</v>
      </c>
      <c r="D36" t="s">
        <v>73</v>
      </c>
      <c r="E36" t="s">
        <v>19</v>
      </c>
      <c r="F36">
        <v>437</v>
      </c>
      <c r="G36">
        <v>5480.24</v>
      </c>
      <c r="H36">
        <v>14347.04</v>
      </c>
      <c r="I36" s="1">
        <v>45503</v>
      </c>
      <c r="J36">
        <v>94</v>
      </c>
      <c r="K36">
        <v>3.93</v>
      </c>
      <c r="L36">
        <v>22</v>
      </c>
      <c r="M36">
        <v>19</v>
      </c>
      <c r="N36">
        <v>105</v>
      </c>
      <c r="O36" s="1">
        <v>45330</v>
      </c>
    </row>
    <row r="37" spans="1:15" x14ac:dyDescent="0.3">
      <c r="A37" t="s">
        <v>98</v>
      </c>
      <c r="B37" t="s">
        <v>99</v>
      </c>
      <c r="C37" t="s">
        <v>42</v>
      </c>
      <c r="D37" t="s">
        <v>36</v>
      </c>
      <c r="E37" t="s">
        <v>19</v>
      </c>
      <c r="F37">
        <v>263</v>
      </c>
      <c r="G37">
        <v>8157.75</v>
      </c>
      <c r="H37">
        <v>12954.15</v>
      </c>
      <c r="I37" s="1">
        <v>45409</v>
      </c>
      <c r="J37">
        <v>9</v>
      </c>
      <c r="K37">
        <v>0.83</v>
      </c>
      <c r="L37">
        <v>19</v>
      </c>
      <c r="M37">
        <v>40</v>
      </c>
      <c r="N37">
        <v>56</v>
      </c>
      <c r="O37" s="1">
        <v>45552</v>
      </c>
    </row>
    <row r="39" spans="1:15" x14ac:dyDescent="0.3">
      <c r="A39" t="s">
        <v>100</v>
      </c>
      <c r="B39" t="s">
        <v>101</v>
      </c>
      <c r="C39" t="s">
        <v>35</v>
      </c>
      <c r="D39" t="s">
        <v>60</v>
      </c>
      <c r="E39" t="s">
        <v>24</v>
      </c>
      <c r="F39">
        <v>396</v>
      </c>
      <c r="G39">
        <v>10046.26</v>
      </c>
      <c r="H39">
        <v>22474.3</v>
      </c>
      <c r="I39" s="1">
        <v>45705</v>
      </c>
      <c r="J39">
        <v>115</v>
      </c>
      <c r="K39">
        <v>3.28</v>
      </c>
      <c r="L39">
        <v>10</v>
      </c>
      <c r="M39">
        <v>24</v>
      </c>
      <c r="N39">
        <v>57</v>
      </c>
      <c r="O39" s="1">
        <v>45534</v>
      </c>
    </row>
    <row r="40" spans="1:15" x14ac:dyDescent="0.3">
      <c r="A40" t="s">
        <v>102</v>
      </c>
      <c r="B40" t="s">
        <v>103</v>
      </c>
      <c r="C40" t="s">
        <v>31</v>
      </c>
      <c r="D40" t="s">
        <v>27</v>
      </c>
      <c r="E40" t="s">
        <v>28</v>
      </c>
      <c r="F40">
        <v>239</v>
      </c>
      <c r="G40">
        <v>2205.7800000000002</v>
      </c>
      <c r="H40">
        <v>2992.08</v>
      </c>
      <c r="I40" s="1">
        <v>45749</v>
      </c>
      <c r="J40">
        <v>92</v>
      </c>
      <c r="K40">
        <v>7.74</v>
      </c>
      <c r="L40">
        <v>26</v>
      </c>
      <c r="M40">
        <v>30</v>
      </c>
      <c r="N40">
        <v>231</v>
      </c>
      <c r="O40" s="1">
        <v>45486</v>
      </c>
    </row>
    <row r="41" spans="1:15" x14ac:dyDescent="0.3">
      <c r="A41" t="s">
        <v>104</v>
      </c>
      <c r="B41" t="s">
        <v>105</v>
      </c>
      <c r="C41" t="s">
        <v>22</v>
      </c>
      <c r="D41" t="s">
        <v>73</v>
      </c>
      <c r="E41" t="s">
        <v>24</v>
      </c>
      <c r="F41">
        <v>337</v>
      </c>
      <c r="G41">
        <v>6084.05</v>
      </c>
      <c r="H41">
        <v>10669.68</v>
      </c>
      <c r="I41" s="1">
        <v>45733</v>
      </c>
      <c r="J41">
        <v>89</v>
      </c>
      <c r="K41">
        <v>1.91</v>
      </c>
      <c r="L41">
        <v>12</v>
      </c>
      <c r="M41">
        <v>29</v>
      </c>
      <c r="N41">
        <v>52</v>
      </c>
      <c r="O41" s="1">
        <v>45421</v>
      </c>
    </row>
    <row r="42" spans="1:15" x14ac:dyDescent="0.3">
      <c r="A42" t="s">
        <v>106</v>
      </c>
      <c r="B42" t="s">
        <v>107</v>
      </c>
      <c r="C42" t="s">
        <v>17</v>
      </c>
      <c r="D42" t="s">
        <v>27</v>
      </c>
      <c r="E42" t="s">
        <v>24</v>
      </c>
      <c r="F42">
        <v>425</v>
      </c>
      <c r="G42">
        <v>12537</v>
      </c>
      <c r="H42">
        <v>15394.24</v>
      </c>
      <c r="I42" s="1">
        <v>45487</v>
      </c>
      <c r="J42">
        <v>59</v>
      </c>
      <c r="K42">
        <v>1.69</v>
      </c>
      <c r="L42">
        <v>18</v>
      </c>
      <c r="M42">
        <v>8</v>
      </c>
      <c r="N42">
        <v>38</v>
      </c>
      <c r="O42" s="1">
        <v>45516</v>
      </c>
    </row>
    <row r="43" spans="1:15" x14ac:dyDescent="0.3">
      <c r="A43" t="s">
        <v>108</v>
      </c>
      <c r="B43" t="s">
        <v>109</v>
      </c>
      <c r="C43" t="s">
        <v>31</v>
      </c>
      <c r="D43" t="s">
        <v>60</v>
      </c>
      <c r="E43" t="s">
        <v>28</v>
      </c>
      <c r="F43">
        <v>294</v>
      </c>
      <c r="G43">
        <v>15031.42</v>
      </c>
      <c r="H43">
        <v>40548.9</v>
      </c>
      <c r="I43" s="1">
        <v>45711</v>
      </c>
      <c r="J43">
        <v>47</v>
      </c>
      <c r="K43">
        <v>3.59</v>
      </c>
      <c r="L43">
        <v>11</v>
      </c>
      <c r="M43">
        <v>33</v>
      </c>
      <c r="N43">
        <v>72</v>
      </c>
      <c r="O43" s="1">
        <v>45729</v>
      </c>
    </row>
    <row r="44" spans="1:15" x14ac:dyDescent="0.3">
      <c r="A44" t="s">
        <v>110</v>
      </c>
      <c r="B44" t="s">
        <v>111</v>
      </c>
      <c r="C44" t="s">
        <v>17</v>
      </c>
      <c r="D44" t="s">
        <v>39</v>
      </c>
      <c r="E44" t="s">
        <v>19</v>
      </c>
      <c r="F44">
        <v>206</v>
      </c>
      <c r="G44">
        <v>9514.77</v>
      </c>
      <c r="H44">
        <v>12263.43</v>
      </c>
      <c r="I44" s="1">
        <v>45750</v>
      </c>
      <c r="J44">
        <v>46</v>
      </c>
      <c r="K44">
        <v>0.16</v>
      </c>
      <c r="L44">
        <v>10</v>
      </c>
      <c r="M44">
        <v>24</v>
      </c>
      <c r="N44">
        <v>26</v>
      </c>
      <c r="O44" s="1">
        <v>45434</v>
      </c>
    </row>
    <row r="45" spans="1:15" x14ac:dyDescent="0.3">
      <c r="A45" t="s">
        <v>112</v>
      </c>
      <c r="B45" t="s">
        <v>113</v>
      </c>
      <c r="C45" t="s">
        <v>35</v>
      </c>
      <c r="D45" t="s">
        <v>18</v>
      </c>
      <c r="E45" t="s">
        <v>24</v>
      </c>
      <c r="F45">
        <v>597</v>
      </c>
      <c r="G45">
        <v>11061.24</v>
      </c>
      <c r="H45">
        <v>20851.53</v>
      </c>
      <c r="I45" s="1">
        <v>45440</v>
      </c>
      <c r="J45">
        <v>89</v>
      </c>
      <c r="K45">
        <v>3.23</v>
      </c>
      <c r="L45">
        <v>17</v>
      </c>
      <c r="M45">
        <v>36</v>
      </c>
      <c r="N45">
        <v>91</v>
      </c>
      <c r="O45" s="1">
        <v>45648</v>
      </c>
    </row>
    <row r="46" spans="1:15" x14ac:dyDescent="0.3">
      <c r="A46" t="s">
        <v>114</v>
      </c>
      <c r="B46" t="s">
        <v>115</v>
      </c>
      <c r="C46" t="s">
        <v>35</v>
      </c>
      <c r="D46" t="s">
        <v>18</v>
      </c>
      <c r="E46" t="s">
        <v>19</v>
      </c>
      <c r="F46">
        <v>-20</v>
      </c>
      <c r="G46">
        <v>11672.19</v>
      </c>
      <c r="H46">
        <v>31290.23</v>
      </c>
      <c r="I46" s="1">
        <v>45693</v>
      </c>
      <c r="J46">
        <v>72</v>
      </c>
      <c r="K46">
        <v>4.32</v>
      </c>
      <c r="L46">
        <v>8</v>
      </c>
      <c r="M46">
        <v>9</v>
      </c>
      <c r="N46">
        <v>44</v>
      </c>
      <c r="O46" s="1">
        <v>45571</v>
      </c>
    </row>
    <row r="47" spans="1:15" x14ac:dyDescent="0.3">
      <c r="A47" t="s">
        <v>116</v>
      </c>
      <c r="B47" t="s">
        <v>117</v>
      </c>
      <c r="C47" t="s">
        <v>31</v>
      </c>
      <c r="D47" t="s">
        <v>18</v>
      </c>
      <c r="E47" t="s">
        <v>24</v>
      </c>
      <c r="F47">
        <v>388</v>
      </c>
      <c r="G47">
        <v>12159.99</v>
      </c>
      <c r="H47">
        <v>25561.040000000001</v>
      </c>
      <c r="I47" s="1">
        <v>45495</v>
      </c>
      <c r="J47">
        <v>29</v>
      </c>
      <c r="K47">
        <v>4.9800000000000004</v>
      </c>
      <c r="L47">
        <v>20</v>
      </c>
      <c r="M47">
        <v>6</v>
      </c>
      <c r="N47">
        <v>106</v>
      </c>
      <c r="O47" s="1">
        <v>45295</v>
      </c>
    </row>
    <row r="49" spans="1:15" x14ac:dyDescent="0.3">
      <c r="A49" t="s">
        <v>118</v>
      </c>
      <c r="B49" t="s">
        <v>119</v>
      </c>
      <c r="C49" t="s">
        <v>22</v>
      </c>
      <c r="D49" t="s">
        <v>23</v>
      </c>
      <c r="E49" t="s">
        <v>24</v>
      </c>
      <c r="F49">
        <v>124</v>
      </c>
      <c r="G49">
        <v>7432.63</v>
      </c>
      <c r="H49">
        <v>18831.03</v>
      </c>
      <c r="I49" s="1">
        <v>45727</v>
      </c>
      <c r="J49">
        <v>15</v>
      </c>
      <c r="K49">
        <v>4.01</v>
      </c>
      <c r="L49">
        <v>25</v>
      </c>
      <c r="M49">
        <v>14</v>
      </c>
      <c r="N49">
        <v>114</v>
      </c>
      <c r="O49" s="1">
        <v>45636</v>
      </c>
    </row>
    <row r="51" spans="1:15" x14ac:dyDescent="0.3">
      <c r="A51" t="s">
        <v>120</v>
      </c>
      <c r="B51" t="s">
        <v>121</v>
      </c>
      <c r="C51" t="s">
        <v>31</v>
      </c>
      <c r="D51" t="s">
        <v>73</v>
      </c>
      <c r="E51" t="s">
        <v>19</v>
      </c>
      <c r="F51">
        <v>319</v>
      </c>
      <c r="G51">
        <v>7438.08</v>
      </c>
      <c r="H51">
        <v>20155.11</v>
      </c>
      <c r="I51" s="1">
        <v>45754</v>
      </c>
      <c r="J51">
        <v>14</v>
      </c>
      <c r="K51">
        <v>7.1</v>
      </c>
      <c r="L51">
        <v>8</v>
      </c>
      <c r="M51">
        <v>20</v>
      </c>
      <c r="N51">
        <v>77</v>
      </c>
      <c r="O51" s="1">
        <v>45307</v>
      </c>
    </row>
    <row r="52" spans="1:15" x14ac:dyDescent="0.3">
      <c r="A52" t="s">
        <v>122</v>
      </c>
      <c r="B52" t="s">
        <v>123</v>
      </c>
      <c r="C52" t="s">
        <v>31</v>
      </c>
      <c r="D52" t="s">
        <v>23</v>
      </c>
      <c r="E52" t="s">
        <v>32</v>
      </c>
      <c r="F52">
        <v>232</v>
      </c>
      <c r="G52">
        <v>13996.98</v>
      </c>
      <c r="H52">
        <v>34533.99</v>
      </c>
      <c r="I52" s="1">
        <v>45765</v>
      </c>
      <c r="J52">
        <v>79</v>
      </c>
      <c r="K52">
        <v>5.04</v>
      </c>
      <c r="L52">
        <v>13</v>
      </c>
      <c r="M52">
        <v>13</v>
      </c>
      <c r="N52">
        <v>79</v>
      </c>
      <c r="O52" s="1">
        <v>45464</v>
      </c>
    </row>
    <row r="53" spans="1:15" x14ac:dyDescent="0.3">
      <c r="A53" t="s">
        <v>124</v>
      </c>
      <c r="B53" t="s">
        <v>125</v>
      </c>
      <c r="C53" t="s">
        <v>42</v>
      </c>
      <c r="D53" t="s">
        <v>73</v>
      </c>
      <c r="E53" t="s">
        <v>19</v>
      </c>
      <c r="F53">
        <v>78</v>
      </c>
      <c r="G53">
        <v>17053.05</v>
      </c>
      <c r="H53">
        <v>33022.620000000003</v>
      </c>
      <c r="I53" s="1">
        <v>45393</v>
      </c>
      <c r="J53">
        <v>68</v>
      </c>
      <c r="K53">
        <v>1.07</v>
      </c>
      <c r="L53">
        <v>29</v>
      </c>
      <c r="M53">
        <v>13</v>
      </c>
      <c r="N53">
        <v>44</v>
      </c>
      <c r="O53" s="1">
        <v>45285</v>
      </c>
    </row>
    <row r="54" spans="1:15" x14ac:dyDescent="0.3">
      <c r="A54" t="s">
        <v>126</v>
      </c>
      <c r="B54" t="s">
        <v>127</v>
      </c>
      <c r="C54" t="s">
        <v>31</v>
      </c>
      <c r="D54" t="s">
        <v>45</v>
      </c>
      <c r="E54" t="s">
        <v>32</v>
      </c>
      <c r="F54">
        <v>159</v>
      </c>
      <c r="G54">
        <v>10616.94</v>
      </c>
      <c r="H54">
        <v>16046.84</v>
      </c>
      <c r="I54" s="1">
        <v>45768</v>
      </c>
      <c r="J54">
        <v>76</v>
      </c>
      <c r="K54">
        <v>6.87</v>
      </c>
      <c r="L54">
        <v>5</v>
      </c>
      <c r="M54">
        <v>22</v>
      </c>
      <c r="N54">
        <v>56</v>
      </c>
      <c r="O54" s="1">
        <v>45422</v>
      </c>
    </row>
    <row r="55" spans="1:15" x14ac:dyDescent="0.3">
      <c r="A55" t="s">
        <v>128</v>
      </c>
      <c r="B55" t="s">
        <v>129</v>
      </c>
      <c r="C55" t="s">
        <v>42</v>
      </c>
      <c r="D55" t="s">
        <v>73</v>
      </c>
      <c r="E55" t="s">
        <v>24</v>
      </c>
      <c r="F55">
        <v>413</v>
      </c>
      <c r="G55">
        <v>15793.16</v>
      </c>
      <c r="H55">
        <v>35078.769999999997</v>
      </c>
      <c r="I55" s="1">
        <v>45756</v>
      </c>
      <c r="J55">
        <v>82</v>
      </c>
      <c r="K55">
        <v>2.16</v>
      </c>
      <c r="L55">
        <v>19</v>
      </c>
      <c r="M55">
        <v>14</v>
      </c>
      <c r="N55">
        <v>55</v>
      </c>
      <c r="O55" s="1">
        <v>45575</v>
      </c>
    </row>
    <row r="56" spans="1:15" x14ac:dyDescent="0.3">
      <c r="A56" t="s">
        <v>130</v>
      </c>
      <c r="B56" t="s">
        <v>131</v>
      </c>
      <c r="C56" t="s">
        <v>17</v>
      </c>
      <c r="D56" t="s">
        <v>23</v>
      </c>
      <c r="E56" t="s">
        <v>19</v>
      </c>
      <c r="F56">
        <v>559</v>
      </c>
      <c r="G56">
        <v>17383.71</v>
      </c>
      <c r="H56">
        <v>43072.92</v>
      </c>
      <c r="I56" s="1">
        <v>45416</v>
      </c>
      <c r="J56">
        <v>59</v>
      </c>
      <c r="K56">
        <v>2.61</v>
      </c>
      <c r="L56">
        <v>18</v>
      </c>
      <c r="M56">
        <v>22</v>
      </c>
      <c r="N56">
        <v>69</v>
      </c>
      <c r="O56" s="1">
        <v>45376</v>
      </c>
    </row>
    <row r="57" spans="1:15" x14ac:dyDescent="0.3">
      <c r="A57" t="s">
        <v>132</v>
      </c>
      <c r="B57" t="s">
        <v>133</v>
      </c>
      <c r="C57" t="s">
        <v>17</v>
      </c>
      <c r="D57" t="s">
        <v>39</v>
      </c>
      <c r="E57" t="s">
        <v>32</v>
      </c>
      <c r="F57">
        <v>392</v>
      </c>
      <c r="G57">
        <v>16730.64</v>
      </c>
      <c r="H57">
        <v>44260.639999999999</v>
      </c>
      <c r="I57" s="1">
        <v>45670</v>
      </c>
      <c r="J57">
        <v>91</v>
      </c>
      <c r="K57">
        <v>4.76</v>
      </c>
      <c r="L57">
        <v>11</v>
      </c>
      <c r="M57">
        <v>9</v>
      </c>
      <c r="N57">
        <v>61</v>
      </c>
      <c r="O57" s="1">
        <v>45353</v>
      </c>
    </row>
    <row r="58" spans="1:15" x14ac:dyDescent="0.3">
      <c r="A58" t="s">
        <v>134</v>
      </c>
      <c r="B58" t="s">
        <v>135</v>
      </c>
      <c r="C58" t="s">
        <v>22</v>
      </c>
      <c r="D58" t="s">
        <v>23</v>
      </c>
      <c r="E58" t="s">
        <v>28</v>
      </c>
      <c r="F58">
        <v>511</v>
      </c>
      <c r="G58">
        <v>5115.09</v>
      </c>
      <c r="H58">
        <v>9474.61</v>
      </c>
      <c r="I58" s="1">
        <v>45745</v>
      </c>
      <c r="J58">
        <v>60</v>
      </c>
      <c r="K58">
        <v>2.7</v>
      </c>
      <c r="L58">
        <v>16</v>
      </c>
      <c r="M58">
        <v>31</v>
      </c>
      <c r="N58">
        <v>74</v>
      </c>
      <c r="O58" s="1">
        <v>45421</v>
      </c>
    </row>
    <row r="59" spans="1:15" x14ac:dyDescent="0.3">
      <c r="A59" t="s">
        <v>136</v>
      </c>
      <c r="B59" t="s">
        <v>137</v>
      </c>
      <c r="C59" t="s">
        <v>35</v>
      </c>
      <c r="D59" t="s">
        <v>27</v>
      </c>
      <c r="E59" t="s">
        <v>28</v>
      </c>
      <c r="F59">
        <v>160</v>
      </c>
      <c r="G59">
        <v>7784.21</v>
      </c>
      <c r="H59">
        <v>5972.87</v>
      </c>
      <c r="I59" s="1">
        <v>45722</v>
      </c>
      <c r="J59">
        <v>106</v>
      </c>
      <c r="K59">
        <v>1.23</v>
      </c>
      <c r="L59">
        <v>16</v>
      </c>
      <c r="M59">
        <v>40</v>
      </c>
      <c r="N59">
        <v>60</v>
      </c>
      <c r="O59" s="1">
        <v>45653</v>
      </c>
    </row>
    <row r="60" spans="1:15" x14ac:dyDescent="0.3">
      <c r="A60" t="s">
        <v>138</v>
      </c>
      <c r="B60" t="s">
        <v>139</v>
      </c>
      <c r="C60" t="s">
        <v>22</v>
      </c>
      <c r="D60" t="s">
        <v>36</v>
      </c>
      <c r="E60" t="s">
        <v>24</v>
      </c>
      <c r="F60">
        <v>297</v>
      </c>
      <c r="G60">
        <v>8537.94</v>
      </c>
      <c r="H60">
        <v>6969.21</v>
      </c>
      <c r="I60" s="1">
        <v>45725</v>
      </c>
      <c r="J60">
        <v>58</v>
      </c>
      <c r="K60">
        <v>7.4</v>
      </c>
      <c r="L60">
        <v>7</v>
      </c>
      <c r="M60">
        <v>19</v>
      </c>
      <c r="N60">
        <v>71</v>
      </c>
      <c r="O60" s="1">
        <v>45702</v>
      </c>
    </row>
    <row r="61" spans="1:15" x14ac:dyDescent="0.3">
      <c r="A61" t="s">
        <v>54</v>
      </c>
      <c r="B61" t="s">
        <v>140</v>
      </c>
      <c r="C61" t="s">
        <v>35</v>
      </c>
      <c r="D61" t="s">
        <v>39</v>
      </c>
      <c r="E61" t="s">
        <v>19</v>
      </c>
      <c r="F61">
        <v>525</v>
      </c>
      <c r="G61">
        <v>6270.41</v>
      </c>
      <c r="H61">
        <v>16007.69</v>
      </c>
      <c r="I61" s="1">
        <v>45752</v>
      </c>
      <c r="J61">
        <v>115</v>
      </c>
      <c r="K61">
        <v>0.78</v>
      </c>
      <c r="L61">
        <v>34</v>
      </c>
      <c r="M61">
        <v>8</v>
      </c>
      <c r="N61">
        <v>35</v>
      </c>
      <c r="O61" s="1">
        <v>45381</v>
      </c>
    </row>
    <row r="62" spans="1:15" x14ac:dyDescent="0.3">
      <c r="A62" t="s">
        <v>141</v>
      </c>
      <c r="B62" t="s">
        <v>142</v>
      </c>
      <c r="C62" t="s">
        <v>31</v>
      </c>
      <c r="D62" t="s">
        <v>27</v>
      </c>
      <c r="E62" t="s">
        <v>28</v>
      </c>
      <c r="F62">
        <v>237</v>
      </c>
      <c r="G62">
        <v>10465.85</v>
      </c>
      <c r="H62">
        <v>23268.9</v>
      </c>
      <c r="I62" s="1">
        <v>45711</v>
      </c>
      <c r="J62">
        <v>44</v>
      </c>
      <c r="K62">
        <v>2.97</v>
      </c>
      <c r="L62">
        <v>32</v>
      </c>
      <c r="M62">
        <v>40</v>
      </c>
      <c r="N62">
        <v>135</v>
      </c>
      <c r="O62" s="1">
        <v>45746</v>
      </c>
    </row>
    <row r="63" spans="1:15" x14ac:dyDescent="0.3">
      <c r="A63" t="s">
        <v>143</v>
      </c>
      <c r="B63" t="s">
        <v>144</v>
      </c>
      <c r="C63" t="s">
        <v>42</v>
      </c>
      <c r="D63" t="s">
        <v>36</v>
      </c>
      <c r="E63" t="s">
        <v>32</v>
      </c>
      <c r="F63">
        <v>390</v>
      </c>
      <c r="G63">
        <v>12464.14</v>
      </c>
      <c r="H63">
        <v>22314.639999999999</v>
      </c>
      <c r="I63" s="1">
        <v>45780</v>
      </c>
      <c r="J63">
        <v>66</v>
      </c>
      <c r="K63">
        <v>2.02</v>
      </c>
      <c r="L63">
        <v>19</v>
      </c>
      <c r="M63">
        <v>12</v>
      </c>
      <c r="N63">
        <v>50</v>
      </c>
      <c r="O63" s="1">
        <v>45724</v>
      </c>
    </row>
    <row r="64" spans="1:15" x14ac:dyDescent="0.3">
      <c r="A64" t="s">
        <v>145</v>
      </c>
      <c r="B64" t="s">
        <v>146</v>
      </c>
      <c r="C64" t="s">
        <v>35</v>
      </c>
      <c r="D64" t="s">
        <v>27</v>
      </c>
      <c r="E64" t="s">
        <v>19</v>
      </c>
      <c r="F64">
        <v>424</v>
      </c>
      <c r="G64">
        <v>1984.87</v>
      </c>
      <c r="H64">
        <v>5171.2700000000004</v>
      </c>
      <c r="I64" s="1">
        <v>45753</v>
      </c>
      <c r="J64">
        <v>95</v>
      </c>
      <c r="K64">
        <v>6.92</v>
      </c>
      <c r="L64">
        <v>9</v>
      </c>
      <c r="M64">
        <v>20</v>
      </c>
      <c r="N64">
        <v>82</v>
      </c>
      <c r="O64" s="1">
        <v>45383</v>
      </c>
    </row>
    <row r="65" spans="1:15" x14ac:dyDescent="0.3">
      <c r="A65" t="s">
        <v>147</v>
      </c>
      <c r="B65" t="s">
        <v>148</v>
      </c>
      <c r="C65" t="s">
        <v>22</v>
      </c>
      <c r="D65" t="s">
        <v>23</v>
      </c>
      <c r="E65" t="s">
        <v>28</v>
      </c>
      <c r="F65">
        <v>192</v>
      </c>
      <c r="G65">
        <v>4508.92</v>
      </c>
      <c r="H65">
        <v>10214.620000000001</v>
      </c>
      <c r="I65" s="1">
        <v>45710</v>
      </c>
      <c r="J65">
        <v>10</v>
      </c>
      <c r="K65">
        <v>4.9800000000000004</v>
      </c>
      <c r="L65">
        <v>24</v>
      </c>
      <c r="M65">
        <v>29</v>
      </c>
      <c r="N65">
        <v>149</v>
      </c>
      <c r="O65" s="1">
        <v>45525</v>
      </c>
    </row>
    <row r="66" spans="1:15" x14ac:dyDescent="0.3">
      <c r="A66" t="s">
        <v>149</v>
      </c>
      <c r="B66" t="s">
        <v>150</v>
      </c>
      <c r="C66" t="s">
        <v>22</v>
      </c>
      <c r="D66" t="s">
        <v>23</v>
      </c>
      <c r="E66" t="s">
        <v>19</v>
      </c>
      <c r="F66">
        <v>147</v>
      </c>
      <c r="G66">
        <v>6997.01</v>
      </c>
      <c r="H66">
        <v>13811.01</v>
      </c>
      <c r="I66" s="1">
        <v>45740</v>
      </c>
      <c r="J66">
        <v>35</v>
      </c>
      <c r="K66">
        <v>2.75</v>
      </c>
      <c r="L66">
        <v>29</v>
      </c>
      <c r="M66">
        <v>31</v>
      </c>
      <c r="N66">
        <v>111</v>
      </c>
      <c r="O66" s="1">
        <v>45532</v>
      </c>
    </row>
    <row r="67" spans="1:15" x14ac:dyDescent="0.3">
      <c r="A67" t="s">
        <v>151</v>
      </c>
      <c r="B67" t="s">
        <v>152</v>
      </c>
      <c r="C67" t="s">
        <v>22</v>
      </c>
      <c r="D67" t="s">
        <v>45</v>
      </c>
      <c r="E67" t="s">
        <v>24</v>
      </c>
      <c r="F67">
        <v>34</v>
      </c>
      <c r="G67">
        <v>16026.2</v>
      </c>
      <c r="H67">
        <v>34203.74</v>
      </c>
      <c r="I67" s="1">
        <v>45663</v>
      </c>
      <c r="J67">
        <v>86</v>
      </c>
      <c r="K67">
        <v>8</v>
      </c>
      <c r="L67">
        <v>31</v>
      </c>
      <c r="M67">
        <v>6</v>
      </c>
      <c r="N67">
        <v>254</v>
      </c>
      <c r="O67" s="1">
        <v>45495</v>
      </c>
    </row>
    <row r="68" spans="1:15" x14ac:dyDescent="0.3">
      <c r="A68" t="s">
        <v>153</v>
      </c>
      <c r="B68" t="s">
        <v>154</v>
      </c>
      <c r="C68" t="s">
        <v>35</v>
      </c>
      <c r="D68" t="s">
        <v>36</v>
      </c>
      <c r="E68" t="s">
        <v>19</v>
      </c>
      <c r="F68">
        <v>181</v>
      </c>
      <c r="G68">
        <v>9274.4599999999991</v>
      </c>
      <c r="H68">
        <v>25342.63</v>
      </c>
      <c r="I68" s="1">
        <v>45738</v>
      </c>
      <c r="J68">
        <v>36</v>
      </c>
      <c r="K68">
        <v>0.79</v>
      </c>
      <c r="L68">
        <v>21</v>
      </c>
      <c r="M68">
        <v>26</v>
      </c>
      <c r="N68">
        <v>43</v>
      </c>
      <c r="O68" s="1">
        <v>45748</v>
      </c>
    </row>
    <row r="69" spans="1:15" x14ac:dyDescent="0.3">
      <c r="A69" t="s">
        <v>155</v>
      </c>
      <c r="B69" t="s">
        <v>156</v>
      </c>
      <c r="C69" t="s">
        <v>42</v>
      </c>
      <c r="D69" t="s">
        <v>23</v>
      </c>
      <c r="E69" t="s">
        <v>19</v>
      </c>
      <c r="F69">
        <v>80</v>
      </c>
      <c r="G69">
        <v>4236.6099999999997</v>
      </c>
      <c r="H69">
        <v>10863.46</v>
      </c>
      <c r="I69" s="1">
        <v>45773</v>
      </c>
      <c r="J69">
        <v>35</v>
      </c>
      <c r="K69">
        <v>1.75</v>
      </c>
      <c r="L69">
        <v>26</v>
      </c>
      <c r="M69">
        <v>36</v>
      </c>
      <c r="N69">
        <v>82</v>
      </c>
      <c r="O69" s="1">
        <v>45359</v>
      </c>
    </row>
    <row r="70" spans="1:15" x14ac:dyDescent="0.3">
      <c r="A70" t="s">
        <v>157</v>
      </c>
      <c r="B70" t="s">
        <v>158</v>
      </c>
      <c r="C70" t="s">
        <v>42</v>
      </c>
      <c r="D70" t="s">
        <v>18</v>
      </c>
      <c r="E70" t="s">
        <v>19</v>
      </c>
      <c r="F70">
        <v>111</v>
      </c>
      <c r="G70">
        <v>5315.58</v>
      </c>
      <c r="H70">
        <v>8032.31</v>
      </c>
      <c r="I70" s="1">
        <v>45750</v>
      </c>
      <c r="J70">
        <v>58</v>
      </c>
      <c r="K70">
        <v>1.34</v>
      </c>
      <c r="L70">
        <v>25</v>
      </c>
      <c r="M70">
        <v>28</v>
      </c>
      <c r="N70">
        <v>62</v>
      </c>
      <c r="O70" s="1">
        <v>45487</v>
      </c>
    </row>
    <row r="71" spans="1:15" x14ac:dyDescent="0.3">
      <c r="A71" t="s">
        <v>159</v>
      </c>
      <c r="B71" t="s">
        <v>160</v>
      </c>
      <c r="C71" t="s">
        <v>31</v>
      </c>
      <c r="D71" t="s">
        <v>27</v>
      </c>
      <c r="E71" t="s">
        <v>28</v>
      </c>
      <c r="F71">
        <v>583</v>
      </c>
      <c r="G71">
        <v>14640.08</v>
      </c>
      <c r="H71">
        <v>30821.19</v>
      </c>
      <c r="I71" s="1">
        <v>45493</v>
      </c>
      <c r="J71">
        <v>85</v>
      </c>
      <c r="K71">
        <v>2.86</v>
      </c>
      <c r="L71">
        <v>8</v>
      </c>
      <c r="M71">
        <v>31</v>
      </c>
      <c r="N71">
        <v>54</v>
      </c>
      <c r="O71" s="1">
        <v>45453</v>
      </c>
    </row>
    <row r="72" spans="1:15" x14ac:dyDescent="0.3">
      <c r="A72" t="s">
        <v>161</v>
      </c>
      <c r="B72" t="s">
        <v>162</v>
      </c>
      <c r="C72" t="s">
        <v>42</v>
      </c>
      <c r="D72" t="s">
        <v>60</v>
      </c>
      <c r="E72" t="s">
        <v>28</v>
      </c>
      <c r="F72">
        <v>173</v>
      </c>
      <c r="G72">
        <v>11555.25</v>
      </c>
      <c r="H72">
        <v>15908.92</v>
      </c>
      <c r="I72" s="1">
        <v>45748</v>
      </c>
      <c r="J72">
        <v>99</v>
      </c>
      <c r="K72">
        <v>7.35</v>
      </c>
      <c r="L72">
        <v>34</v>
      </c>
      <c r="M72">
        <v>38</v>
      </c>
      <c r="N72">
        <v>288</v>
      </c>
      <c r="O72" s="1">
        <v>45638</v>
      </c>
    </row>
    <row r="73" spans="1:15" x14ac:dyDescent="0.3">
      <c r="A73" t="s">
        <v>163</v>
      </c>
      <c r="B73" t="s">
        <v>164</v>
      </c>
      <c r="C73" t="s">
        <v>22</v>
      </c>
      <c r="D73" t="s">
        <v>36</v>
      </c>
      <c r="E73" t="s">
        <v>19</v>
      </c>
      <c r="F73">
        <v>60</v>
      </c>
      <c r="G73">
        <v>11264.01</v>
      </c>
      <c r="H73">
        <v>20980.67</v>
      </c>
      <c r="I73" s="1">
        <v>45498</v>
      </c>
      <c r="J73">
        <v>70</v>
      </c>
      <c r="K73">
        <v>3.53</v>
      </c>
      <c r="L73">
        <v>9</v>
      </c>
      <c r="M73">
        <v>23</v>
      </c>
      <c r="N73">
        <v>55</v>
      </c>
      <c r="O73" s="1">
        <v>45601</v>
      </c>
    </row>
    <row r="74" spans="1:15" x14ac:dyDescent="0.3">
      <c r="A74" t="s">
        <v>165</v>
      </c>
      <c r="B74" t="s">
        <v>166</v>
      </c>
      <c r="C74" t="s">
        <v>31</v>
      </c>
      <c r="D74" t="s">
        <v>18</v>
      </c>
      <c r="E74" t="s">
        <v>32</v>
      </c>
      <c r="F74">
        <v>105</v>
      </c>
      <c r="G74">
        <v>7536.57</v>
      </c>
      <c r="H74">
        <v>13489.46</v>
      </c>
      <c r="I74" s="1">
        <v>45737</v>
      </c>
      <c r="J74">
        <v>40</v>
      </c>
      <c r="K74">
        <v>3.03</v>
      </c>
      <c r="L74">
        <v>26</v>
      </c>
      <c r="M74">
        <v>21</v>
      </c>
      <c r="N74">
        <v>100</v>
      </c>
      <c r="O74" s="1">
        <v>45539</v>
      </c>
    </row>
    <row r="75" spans="1:15" x14ac:dyDescent="0.3">
      <c r="A75" t="s">
        <v>167</v>
      </c>
      <c r="B75" t="s">
        <v>168</v>
      </c>
      <c r="C75" t="s">
        <v>35</v>
      </c>
      <c r="D75" t="s">
        <v>45</v>
      </c>
      <c r="E75" t="s">
        <v>28</v>
      </c>
      <c r="F75">
        <v>-18</v>
      </c>
      <c r="G75">
        <v>15032.35</v>
      </c>
      <c r="H75">
        <v>32283.759999999998</v>
      </c>
      <c r="I75" s="1">
        <v>45700</v>
      </c>
      <c r="J75">
        <v>38</v>
      </c>
      <c r="K75">
        <v>7.51</v>
      </c>
      <c r="L75">
        <v>34</v>
      </c>
      <c r="M75">
        <v>11</v>
      </c>
      <c r="N75">
        <v>266</v>
      </c>
      <c r="O75" s="1">
        <v>45616</v>
      </c>
    </row>
    <row r="77" spans="1:15" x14ac:dyDescent="0.3">
      <c r="A77" t="s">
        <v>98</v>
      </c>
      <c r="B77" t="s">
        <v>169</v>
      </c>
      <c r="C77" t="s">
        <v>42</v>
      </c>
      <c r="D77" t="s">
        <v>36</v>
      </c>
      <c r="E77" t="s">
        <v>32</v>
      </c>
      <c r="F77">
        <v>112</v>
      </c>
      <c r="G77">
        <v>13386.68</v>
      </c>
      <c r="H77">
        <v>18131.240000000002</v>
      </c>
      <c r="J77">
        <v>114</v>
      </c>
      <c r="K77">
        <v>4.74</v>
      </c>
      <c r="L77">
        <v>22</v>
      </c>
      <c r="M77">
        <v>10</v>
      </c>
      <c r="N77">
        <v>114</v>
      </c>
      <c r="O77" s="1">
        <v>45473</v>
      </c>
    </row>
    <row r="78" spans="1:15" x14ac:dyDescent="0.3">
      <c r="A78" t="s">
        <v>170</v>
      </c>
      <c r="B78" t="s">
        <v>171</v>
      </c>
      <c r="C78" t="s">
        <v>17</v>
      </c>
      <c r="D78" t="s">
        <v>23</v>
      </c>
      <c r="E78" t="s">
        <v>24</v>
      </c>
      <c r="F78">
        <v>95</v>
      </c>
      <c r="G78">
        <v>2858.33</v>
      </c>
      <c r="H78">
        <v>7759.03</v>
      </c>
      <c r="I78" s="1">
        <v>45773</v>
      </c>
      <c r="J78">
        <v>15</v>
      </c>
      <c r="K78">
        <v>4.87</v>
      </c>
      <c r="L78">
        <v>22</v>
      </c>
      <c r="M78">
        <v>31</v>
      </c>
      <c r="N78">
        <v>138</v>
      </c>
      <c r="O78" s="1">
        <v>45608</v>
      </c>
    </row>
    <row r="79" spans="1:15" x14ac:dyDescent="0.3">
      <c r="A79" t="s">
        <v>172</v>
      </c>
      <c r="B79" t="s">
        <v>173</v>
      </c>
      <c r="C79" t="s">
        <v>17</v>
      </c>
      <c r="D79" t="s">
        <v>23</v>
      </c>
      <c r="E79" t="s">
        <v>32</v>
      </c>
      <c r="F79">
        <v>498</v>
      </c>
      <c r="G79">
        <v>1981.19</v>
      </c>
      <c r="H79">
        <v>1615.46</v>
      </c>
      <c r="I79" s="1">
        <v>45759</v>
      </c>
      <c r="J79">
        <v>23</v>
      </c>
      <c r="K79">
        <v>2.06</v>
      </c>
      <c r="L79">
        <v>35</v>
      </c>
      <c r="M79">
        <v>8</v>
      </c>
      <c r="N79">
        <v>80</v>
      </c>
      <c r="O79" s="1">
        <v>45465</v>
      </c>
    </row>
    <row r="80" spans="1:15" x14ac:dyDescent="0.3">
      <c r="A80" t="s">
        <v>174</v>
      </c>
      <c r="B80" t="s">
        <v>175</v>
      </c>
      <c r="C80" t="s">
        <v>17</v>
      </c>
      <c r="D80" t="s">
        <v>27</v>
      </c>
      <c r="E80" t="s">
        <v>19</v>
      </c>
      <c r="F80">
        <v>340</v>
      </c>
      <c r="G80">
        <v>12077.16</v>
      </c>
      <c r="H80">
        <v>23555.71</v>
      </c>
      <c r="I80" s="1">
        <v>45725</v>
      </c>
      <c r="J80">
        <v>27</v>
      </c>
      <c r="K80">
        <v>2.76</v>
      </c>
      <c r="L80">
        <v>16</v>
      </c>
      <c r="M80">
        <v>21</v>
      </c>
      <c r="N80">
        <v>65</v>
      </c>
      <c r="O80" s="1">
        <v>45717</v>
      </c>
    </row>
    <row r="81" spans="1:15" x14ac:dyDescent="0.3">
      <c r="A81" t="s">
        <v>176</v>
      </c>
      <c r="B81" t="s">
        <v>177</v>
      </c>
      <c r="C81" t="s">
        <v>17</v>
      </c>
      <c r="D81" t="s">
        <v>27</v>
      </c>
      <c r="E81" t="s">
        <v>32</v>
      </c>
      <c r="F81">
        <v>266</v>
      </c>
      <c r="G81">
        <v>6917.4</v>
      </c>
      <c r="H81">
        <v>17415.47</v>
      </c>
      <c r="I81" s="1">
        <v>45686</v>
      </c>
      <c r="J81">
        <v>60</v>
      </c>
      <c r="K81">
        <v>0.46</v>
      </c>
      <c r="L81">
        <v>5</v>
      </c>
      <c r="M81">
        <v>39</v>
      </c>
      <c r="N81">
        <v>41</v>
      </c>
      <c r="O81" s="1">
        <v>45634</v>
      </c>
    </row>
    <row r="82" spans="1:15" x14ac:dyDescent="0.3">
      <c r="A82" t="s">
        <v>178</v>
      </c>
      <c r="B82" t="s">
        <v>179</v>
      </c>
      <c r="C82" t="s">
        <v>35</v>
      </c>
      <c r="D82" t="s">
        <v>60</v>
      </c>
      <c r="E82" t="s">
        <v>32</v>
      </c>
      <c r="F82">
        <v>416</v>
      </c>
      <c r="G82">
        <v>15703.12</v>
      </c>
      <c r="H82">
        <v>34999.99</v>
      </c>
      <c r="I82" s="1">
        <v>45689</v>
      </c>
      <c r="J82">
        <v>110</v>
      </c>
      <c r="K82">
        <v>2.84</v>
      </c>
      <c r="L82">
        <v>7</v>
      </c>
      <c r="M82">
        <v>22</v>
      </c>
      <c r="N82">
        <v>42</v>
      </c>
      <c r="O82" s="1">
        <v>45701</v>
      </c>
    </row>
  </sheetData>
  <autoFilter ref="A1:O16" xr:uid="{778291B2-6C24-41B5-821F-032BDEA6F2F9}">
    <filterColumn colId="8">
      <filters blank="1"/>
    </filterColumn>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AD7D0-7B76-4CEB-9DEC-99D254BB11F0}">
  <sheetPr>
    <tabColor theme="3" tint="0.249977111117893"/>
  </sheetPr>
  <dimension ref="A1:T152"/>
  <sheetViews>
    <sheetView zoomScale="110" zoomScaleNormal="110" workbookViewId="0">
      <pane ySplit="1" topLeftCell="A2" activePane="bottomLeft" state="frozen"/>
      <selection pane="bottomLeft" activeCell="D12" sqref="D12"/>
    </sheetView>
  </sheetViews>
  <sheetFormatPr defaultRowHeight="14.4" x14ac:dyDescent="0.3"/>
  <cols>
    <col min="1" max="1" width="14.21875" style="43" customWidth="1"/>
    <col min="2" max="2" width="29.88671875" style="11" customWidth="1"/>
    <col min="3" max="3" width="21.5546875" style="11" customWidth="1"/>
    <col min="4" max="4" width="27.33203125" style="11" customWidth="1"/>
    <col min="5" max="5" width="27.88671875" style="11" customWidth="1"/>
    <col min="6" max="6" width="29.44140625" style="44" customWidth="1"/>
    <col min="7" max="7" width="22.21875" style="45" customWidth="1"/>
    <col min="8" max="8" width="31.5546875" style="45" customWidth="1"/>
    <col min="9" max="9" width="34.33203125" style="46" customWidth="1"/>
    <col min="10" max="10" width="31.88671875" style="44" customWidth="1"/>
    <col min="11" max="11" width="28.6640625" style="45" customWidth="1"/>
    <col min="12" max="12" width="28.109375" style="44" customWidth="1"/>
    <col min="13" max="13" width="24" style="44" customWidth="1"/>
    <col min="14" max="14" width="20.5546875" style="44" customWidth="1"/>
    <col min="15" max="15" width="30.33203125" style="46" customWidth="1"/>
    <col min="16" max="16" width="20.6640625" style="11" customWidth="1"/>
    <col min="17" max="17" width="30.5546875" style="11" customWidth="1"/>
    <col min="18" max="18" width="33.44140625" style="11" customWidth="1"/>
    <col min="19" max="19" width="30.21875" style="11" customWidth="1"/>
    <col min="20" max="16384" width="8.88671875" style="11"/>
  </cols>
  <sheetData>
    <row r="1" spans="1:20" x14ac:dyDescent="0.3">
      <c r="A1" s="80" t="s">
        <v>0</v>
      </c>
      <c r="B1" s="81" t="s">
        <v>1</v>
      </c>
      <c r="C1" s="81" t="s">
        <v>2</v>
      </c>
      <c r="D1" s="81" t="s">
        <v>3</v>
      </c>
      <c r="E1" s="81" t="s">
        <v>4</v>
      </c>
      <c r="F1" s="82" t="s">
        <v>5</v>
      </c>
      <c r="G1" s="83" t="s">
        <v>6</v>
      </c>
      <c r="H1" s="83" t="s">
        <v>7</v>
      </c>
      <c r="I1" s="84" t="s">
        <v>8</v>
      </c>
      <c r="J1" s="82" t="s">
        <v>9</v>
      </c>
      <c r="K1" s="83" t="s">
        <v>10</v>
      </c>
      <c r="L1" s="82" t="s">
        <v>11</v>
      </c>
      <c r="M1" s="82" t="s">
        <v>12</v>
      </c>
      <c r="N1" s="82" t="s">
        <v>13</v>
      </c>
      <c r="O1" s="84" t="s">
        <v>14</v>
      </c>
      <c r="P1" s="81" t="s">
        <v>209</v>
      </c>
      <c r="Q1" s="81" t="s">
        <v>210</v>
      </c>
      <c r="R1" s="81" t="s">
        <v>211</v>
      </c>
      <c r="S1" s="81" t="s">
        <v>229</v>
      </c>
      <c r="T1" s="10"/>
    </row>
    <row r="2" spans="1:20" x14ac:dyDescent="0.3">
      <c r="A2" s="43" t="s">
        <v>15</v>
      </c>
      <c r="B2" s="11" t="s">
        <v>16</v>
      </c>
      <c r="C2" s="11" t="s">
        <v>17</v>
      </c>
      <c r="D2" s="11" t="s">
        <v>18</v>
      </c>
      <c r="E2" s="11" t="s">
        <v>19</v>
      </c>
      <c r="F2" s="44">
        <v>125</v>
      </c>
      <c r="G2" s="45">
        <v>11240.84</v>
      </c>
      <c r="H2" s="45">
        <v>21532.76</v>
      </c>
      <c r="I2" s="46">
        <v>45673</v>
      </c>
      <c r="J2" s="44">
        <v>27</v>
      </c>
      <c r="K2" s="45">
        <v>6.15</v>
      </c>
      <c r="L2" s="44">
        <v>19</v>
      </c>
      <c r="M2" s="44">
        <v>21</v>
      </c>
      <c r="N2" s="44">
        <v>138</v>
      </c>
      <c r="O2" s="46">
        <v>45601</v>
      </c>
      <c r="P2" s="11" t="str">
        <f>IF(I2=DATE(2020,1,1),"NO SALE RECORDED","OK")</f>
        <v>OK</v>
      </c>
      <c r="Q2" s="11" t="str">
        <f>IF(F2&lt;0,"NEGATIVE QTY - DATA ERROR","OK")</f>
        <v>OK</v>
      </c>
      <c r="R2" s="11" t="str">
        <f>IF(G2&gt;H2,"SELLING AT LOSS - REVIEW PRICING","OK")</f>
        <v>OK</v>
      </c>
      <c r="S2" s="11" t="str">
        <f>IF(COUNTIF($A$2:$A$76,A2)&gt;1,"DUPLICATE SKU","UNIQUE")</f>
        <v>UNIQUE</v>
      </c>
    </row>
    <row r="3" spans="1:20" x14ac:dyDescent="0.3">
      <c r="A3" s="43" t="s">
        <v>20</v>
      </c>
      <c r="B3" s="11" t="s">
        <v>21</v>
      </c>
      <c r="C3" s="11" t="s">
        <v>22</v>
      </c>
      <c r="D3" s="11" t="s">
        <v>23</v>
      </c>
      <c r="E3" s="11" t="s">
        <v>24</v>
      </c>
      <c r="F3" s="44">
        <v>266</v>
      </c>
      <c r="G3" s="45">
        <v>13724.92</v>
      </c>
      <c r="H3" s="45">
        <v>10571.67</v>
      </c>
      <c r="I3" s="46">
        <v>43831</v>
      </c>
      <c r="J3" s="44">
        <v>98</v>
      </c>
      <c r="K3" s="45">
        <v>6.61</v>
      </c>
      <c r="L3" s="44">
        <v>17</v>
      </c>
      <c r="M3" s="44">
        <v>37</v>
      </c>
      <c r="N3" s="44">
        <v>149</v>
      </c>
      <c r="O3" s="46">
        <v>45733</v>
      </c>
      <c r="P3" s="11" t="str">
        <f t="shared" ref="P3:P66" si="0">IF(I3=DATE(2020,1,1),"NO SALE RECORDED","OK")</f>
        <v>NO SALE RECORDED</v>
      </c>
      <c r="Q3" s="11" t="str">
        <f t="shared" ref="Q3:Q66" si="1">IF(F3&lt;0,"NEGATIVE QTY - DATA ERROR","OK")</f>
        <v>OK</v>
      </c>
      <c r="R3" s="11" t="str">
        <f t="shared" ref="R3:R66" si="2">IF(G3&gt;H3,"SELLING AT LOSS - REVIEW PRICING","OK")</f>
        <v>SELLING AT LOSS - REVIEW PRICING</v>
      </c>
      <c r="S3" s="11" t="str">
        <f t="shared" ref="S3:S66" si="3">IF(COUNTIF($A$2:$A$76,A3)&gt;1,"DUPLICATE SKU","UNIQUE")</f>
        <v>UNIQUE</v>
      </c>
    </row>
    <row r="4" spans="1:20" x14ac:dyDescent="0.3">
      <c r="A4" s="43" t="s">
        <v>25</v>
      </c>
      <c r="B4" s="11" t="s">
        <v>26</v>
      </c>
      <c r="C4" s="11" t="s">
        <v>22</v>
      </c>
      <c r="D4" s="11" t="s">
        <v>27</v>
      </c>
      <c r="E4" s="11" t="s">
        <v>28</v>
      </c>
      <c r="F4" s="44">
        <v>108</v>
      </c>
      <c r="G4" s="45">
        <v>5279.72</v>
      </c>
      <c r="H4" s="45">
        <v>6714.94</v>
      </c>
      <c r="I4" s="46">
        <v>45745</v>
      </c>
      <c r="J4" s="44">
        <v>90</v>
      </c>
      <c r="K4" s="45">
        <v>3.58</v>
      </c>
      <c r="L4" s="44">
        <v>32</v>
      </c>
      <c r="M4" s="44">
        <v>11</v>
      </c>
      <c r="N4" s="44">
        <v>126</v>
      </c>
      <c r="O4" s="46">
        <v>45577</v>
      </c>
      <c r="P4" s="11" t="str">
        <f t="shared" si="0"/>
        <v>OK</v>
      </c>
      <c r="Q4" s="11" t="str">
        <f t="shared" si="1"/>
        <v>OK</v>
      </c>
      <c r="R4" s="11" t="str">
        <f t="shared" si="2"/>
        <v>OK</v>
      </c>
      <c r="S4" s="11" t="str">
        <f t="shared" si="3"/>
        <v>UNIQUE</v>
      </c>
    </row>
    <row r="5" spans="1:20" x14ac:dyDescent="0.3">
      <c r="A5" s="43" t="s">
        <v>29</v>
      </c>
      <c r="B5" s="11" t="s">
        <v>30</v>
      </c>
      <c r="C5" s="11" t="s">
        <v>31</v>
      </c>
      <c r="D5" s="11" t="s">
        <v>23</v>
      </c>
      <c r="E5" s="11" t="s">
        <v>32</v>
      </c>
      <c r="F5" s="44">
        <v>316</v>
      </c>
      <c r="G5" s="45">
        <v>13131.29</v>
      </c>
      <c r="H5" s="45">
        <v>29242.82</v>
      </c>
      <c r="I5" s="46">
        <v>45661</v>
      </c>
      <c r="J5" s="44">
        <v>3</v>
      </c>
      <c r="K5" s="45">
        <v>6.79</v>
      </c>
      <c r="L5" s="44">
        <v>6</v>
      </c>
      <c r="M5" s="44">
        <v>35</v>
      </c>
      <c r="N5" s="44">
        <v>76</v>
      </c>
      <c r="O5" s="46">
        <v>45300</v>
      </c>
      <c r="P5" s="11" t="str">
        <f t="shared" si="0"/>
        <v>OK</v>
      </c>
      <c r="Q5" s="11" t="str">
        <f t="shared" si="1"/>
        <v>OK</v>
      </c>
      <c r="R5" s="11" t="str">
        <f t="shared" si="2"/>
        <v>OK</v>
      </c>
      <c r="S5" s="11" t="str">
        <f t="shared" si="3"/>
        <v>UNIQUE</v>
      </c>
    </row>
    <row r="6" spans="1:20" x14ac:dyDescent="0.3">
      <c r="A6" s="43" t="s">
        <v>33</v>
      </c>
      <c r="B6" s="11" t="s">
        <v>34</v>
      </c>
      <c r="C6" s="11" t="s">
        <v>35</v>
      </c>
      <c r="D6" s="11" t="s">
        <v>36</v>
      </c>
      <c r="E6" s="11" t="s">
        <v>28</v>
      </c>
      <c r="F6" s="44">
        <v>119</v>
      </c>
      <c r="G6" s="45">
        <v>3337.44</v>
      </c>
      <c r="H6" s="45">
        <v>5226.38</v>
      </c>
      <c r="I6" s="46">
        <v>45766</v>
      </c>
      <c r="J6" s="44">
        <v>44</v>
      </c>
      <c r="K6" s="45">
        <v>3.52</v>
      </c>
      <c r="L6" s="44">
        <v>28</v>
      </c>
      <c r="M6" s="44">
        <v>25</v>
      </c>
      <c r="N6" s="44">
        <v>124</v>
      </c>
      <c r="O6" s="46">
        <v>45738</v>
      </c>
      <c r="P6" s="11" t="str">
        <f t="shared" si="0"/>
        <v>OK</v>
      </c>
      <c r="Q6" s="11" t="str">
        <f t="shared" si="1"/>
        <v>OK</v>
      </c>
      <c r="R6" s="11" t="str">
        <f t="shared" si="2"/>
        <v>OK</v>
      </c>
      <c r="S6" s="11" t="str">
        <f t="shared" si="3"/>
        <v>UNIQUE</v>
      </c>
    </row>
    <row r="7" spans="1:20" x14ac:dyDescent="0.3">
      <c r="A7" s="43" t="s">
        <v>37</v>
      </c>
      <c r="B7" s="11" t="s">
        <v>38</v>
      </c>
      <c r="C7" s="11" t="s">
        <v>35</v>
      </c>
      <c r="D7" s="11" t="s">
        <v>39</v>
      </c>
      <c r="E7" s="11" t="s">
        <v>24</v>
      </c>
      <c r="F7" s="44">
        <v>209</v>
      </c>
      <c r="G7" s="45">
        <v>9430.58</v>
      </c>
      <c r="H7" s="45">
        <v>21444.38</v>
      </c>
      <c r="I7" s="46">
        <v>45774</v>
      </c>
      <c r="J7" s="44">
        <v>8</v>
      </c>
      <c r="K7" s="45">
        <v>5</v>
      </c>
      <c r="L7" s="44">
        <v>35</v>
      </c>
      <c r="M7" s="44">
        <v>26</v>
      </c>
      <c r="N7" s="44">
        <v>201</v>
      </c>
      <c r="O7" s="46">
        <v>45593</v>
      </c>
      <c r="P7" s="11" t="str">
        <f t="shared" si="0"/>
        <v>OK</v>
      </c>
      <c r="Q7" s="11" t="str">
        <f t="shared" si="1"/>
        <v>OK</v>
      </c>
      <c r="R7" s="11" t="str">
        <f t="shared" si="2"/>
        <v>OK</v>
      </c>
      <c r="S7" s="11" t="str">
        <f t="shared" si="3"/>
        <v>UNIQUE</v>
      </c>
    </row>
    <row r="8" spans="1:20" x14ac:dyDescent="0.3">
      <c r="A8" s="43" t="s">
        <v>40</v>
      </c>
      <c r="B8" s="11" t="s">
        <v>41</v>
      </c>
      <c r="C8" s="11" t="s">
        <v>42</v>
      </c>
      <c r="D8" s="11" t="s">
        <v>23</v>
      </c>
      <c r="E8" s="11" t="s">
        <v>19</v>
      </c>
      <c r="F8" s="44">
        <v>10</v>
      </c>
      <c r="G8" s="45">
        <v>15584.01</v>
      </c>
      <c r="H8" s="45">
        <v>21764.48</v>
      </c>
      <c r="I8" s="46">
        <v>45738</v>
      </c>
      <c r="J8" s="44">
        <v>33</v>
      </c>
      <c r="K8" s="45">
        <v>2.3199999999999998</v>
      </c>
      <c r="L8" s="44">
        <v>34</v>
      </c>
      <c r="M8" s="44">
        <v>34</v>
      </c>
      <c r="N8" s="44">
        <v>113</v>
      </c>
      <c r="O8" s="46">
        <v>45663</v>
      </c>
      <c r="P8" s="11" t="str">
        <f t="shared" si="0"/>
        <v>OK</v>
      </c>
      <c r="Q8" s="11" t="str">
        <f t="shared" si="1"/>
        <v>OK</v>
      </c>
      <c r="R8" s="11" t="str">
        <f t="shared" si="2"/>
        <v>OK</v>
      </c>
      <c r="S8" s="11" t="str">
        <f t="shared" si="3"/>
        <v>UNIQUE</v>
      </c>
    </row>
    <row r="9" spans="1:20" x14ac:dyDescent="0.3">
      <c r="A9" s="43" t="s">
        <v>43</v>
      </c>
      <c r="B9" s="11" t="s">
        <v>44</v>
      </c>
      <c r="C9" s="11" t="s">
        <v>22</v>
      </c>
      <c r="D9" s="11" t="s">
        <v>45</v>
      </c>
      <c r="E9" s="11" t="s">
        <v>24</v>
      </c>
      <c r="F9" s="44">
        <v>522</v>
      </c>
      <c r="G9" s="45">
        <v>17657.599999999999</v>
      </c>
      <c r="H9" s="45">
        <v>20874.689999999999</v>
      </c>
      <c r="I9" s="46">
        <v>45754</v>
      </c>
      <c r="J9" s="44">
        <v>42</v>
      </c>
      <c r="K9" s="45">
        <v>7</v>
      </c>
      <c r="L9" s="44">
        <v>32</v>
      </c>
      <c r="M9" s="44">
        <v>11</v>
      </c>
      <c r="N9" s="44">
        <v>235</v>
      </c>
      <c r="O9" s="46">
        <v>45315</v>
      </c>
      <c r="P9" s="11" t="str">
        <f t="shared" si="0"/>
        <v>OK</v>
      </c>
      <c r="Q9" s="11" t="str">
        <f t="shared" si="1"/>
        <v>OK</v>
      </c>
      <c r="R9" s="11" t="str">
        <f t="shared" si="2"/>
        <v>OK</v>
      </c>
      <c r="S9" s="11" t="str">
        <f t="shared" si="3"/>
        <v>UNIQUE</v>
      </c>
    </row>
    <row r="10" spans="1:20" x14ac:dyDescent="0.3">
      <c r="A10" s="43" t="s">
        <v>46</v>
      </c>
      <c r="B10" s="11" t="s">
        <v>47</v>
      </c>
      <c r="C10" s="11" t="s">
        <v>17</v>
      </c>
      <c r="D10" s="11" t="s">
        <v>23</v>
      </c>
      <c r="E10" s="11" t="s">
        <v>19</v>
      </c>
      <c r="F10" s="44">
        <v>78</v>
      </c>
      <c r="G10" s="45">
        <v>883.08</v>
      </c>
      <c r="H10" s="45">
        <v>1970.47</v>
      </c>
      <c r="I10" s="46">
        <v>45749</v>
      </c>
      <c r="J10" s="44">
        <v>43</v>
      </c>
      <c r="K10" s="45">
        <v>6.59</v>
      </c>
      <c r="L10" s="44">
        <v>5</v>
      </c>
      <c r="M10" s="44">
        <v>31</v>
      </c>
      <c r="N10" s="44">
        <v>64</v>
      </c>
      <c r="O10" s="46">
        <v>45538</v>
      </c>
      <c r="P10" s="11" t="str">
        <f t="shared" si="0"/>
        <v>OK</v>
      </c>
      <c r="Q10" s="11" t="str">
        <f t="shared" si="1"/>
        <v>OK</v>
      </c>
      <c r="R10" s="11" t="str">
        <f t="shared" si="2"/>
        <v>OK</v>
      </c>
      <c r="S10" s="11" t="str">
        <f t="shared" si="3"/>
        <v>UNIQUE</v>
      </c>
    </row>
    <row r="11" spans="1:20" x14ac:dyDescent="0.3">
      <c r="A11" s="43" t="s">
        <v>48</v>
      </c>
      <c r="B11" s="11" t="s">
        <v>49</v>
      </c>
      <c r="C11" s="11" t="s">
        <v>22</v>
      </c>
      <c r="D11" s="11" t="s">
        <v>45</v>
      </c>
      <c r="E11" s="11" t="s">
        <v>32</v>
      </c>
      <c r="F11" s="44">
        <v>109</v>
      </c>
      <c r="G11" s="45">
        <v>5601.04</v>
      </c>
      <c r="H11" s="45">
        <v>12009.64</v>
      </c>
      <c r="I11" s="46">
        <v>45761</v>
      </c>
      <c r="J11" s="44">
        <v>26</v>
      </c>
      <c r="K11" s="45">
        <v>2.15</v>
      </c>
      <c r="L11" s="44">
        <v>25</v>
      </c>
      <c r="M11" s="44">
        <v>18</v>
      </c>
      <c r="N11" s="44">
        <v>72</v>
      </c>
      <c r="O11" s="46">
        <v>45551</v>
      </c>
      <c r="P11" s="11" t="str">
        <f t="shared" si="0"/>
        <v>OK</v>
      </c>
      <c r="Q11" s="11" t="str">
        <f t="shared" si="1"/>
        <v>OK</v>
      </c>
      <c r="R11" s="11" t="str">
        <f t="shared" si="2"/>
        <v>OK</v>
      </c>
      <c r="S11" s="11" t="str">
        <f t="shared" si="3"/>
        <v>UNIQUE</v>
      </c>
    </row>
    <row r="12" spans="1:20" x14ac:dyDescent="0.3">
      <c r="A12" s="43" t="s">
        <v>50</v>
      </c>
      <c r="B12" s="11" t="s">
        <v>51</v>
      </c>
      <c r="C12" s="11" t="s">
        <v>31</v>
      </c>
      <c r="D12" s="11" t="s">
        <v>36</v>
      </c>
      <c r="E12" s="11" t="s">
        <v>32</v>
      </c>
      <c r="F12" s="44">
        <v>101</v>
      </c>
      <c r="G12" s="45">
        <v>17432.490000000002</v>
      </c>
      <c r="H12" s="45">
        <v>43662.13</v>
      </c>
      <c r="I12" s="46">
        <v>45708</v>
      </c>
      <c r="J12" s="44">
        <v>82</v>
      </c>
      <c r="K12" s="45">
        <v>0.45</v>
      </c>
      <c r="L12" s="44">
        <v>25</v>
      </c>
      <c r="M12" s="44">
        <v>6</v>
      </c>
      <c r="N12" s="44">
        <v>17</v>
      </c>
      <c r="O12" s="46">
        <v>45336</v>
      </c>
      <c r="P12" s="11" t="str">
        <f t="shared" si="0"/>
        <v>OK</v>
      </c>
      <c r="Q12" s="11" t="str">
        <f t="shared" si="1"/>
        <v>OK</v>
      </c>
      <c r="R12" s="11" t="str">
        <f t="shared" si="2"/>
        <v>OK</v>
      </c>
      <c r="S12" s="11" t="str">
        <f t="shared" si="3"/>
        <v>UNIQUE</v>
      </c>
    </row>
    <row r="13" spans="1:20" x14ac:dyDescent="0.3">
      <c r="A13" s="43" t="s">
        <v>52</v>
      </c>
      <c r="B13" s="11" t="s">
        <v>53</v>
      </c>
      <c r="C13" s="11" t="s">
        <v>42</v>
      </c>
      <c r="D13" s="11" t="s">
        <v>39</v>
      </c>
      <c r="E13" s="11" t="s">
        <v>32</v>
      </c>
      <c r="F13" s="44">
        <v>578</v>
      </c>
      <c r="G13" s="45">
        <v>8401.34</v>
      </c>
      <c r="H13" s="45">
        <v>22470.7</v>
      </c>
      <c r="I13" s="46">
        <v>43831</v>
      </c>
      <c r="J13" s="44">
        <v>41</v>
      </c>
      <c r="K13" s="45">
        <v>1.87</v>
      </c>
      <c r="L13" s="44">
        <v>31</v>
      </c>
      <c r="M13" s="44">
        <v>8</v>
      </c>
      <c r="N13" s="44">
        <v>66</v>
      </c>
      <c r="O13" s="46">
        <v>45652</v>
      </c>
      <c r="P13" s="11" t="str">
        <f t="shared" si="0"/>
        <v>NO SALE RECORDED</v>
      </c>
      <c r="Q13" s="11" t="str">
        <f t="shared" si="1"/>
        <v>OK</v>
      </c>
      <c r="R13" s="11" t="str">
        <f t="shared" si="2"/>
        <v>OK</v>
      </c>
      <c r="S13" s="11" t="str">
        <f t="shared" si="3"/>
        <v>UNIQUE</v>
      </c>
    </row>
    <row r="14" spans="1:20" x14ac:dyDescent="0.3">
      <c r="A14" s="43" t="s">
        <v>54</v>
      </c>
      <c r="B14" s="11" t="s">
        <v>55</v>
      </c>
      <c r="C14" s="11" t="s">
        <v>42</v>
      </c>
      <c r="D14" s="11" t="s">
        <v>36</v>
      </c>
      <c r="E14" s="11" t="s">
        <v>32</v>
      </c>
      <c r="F14" s="44">
        <v>557</v>
      </c>
      <c r="G14" s="45">
        <v>10926.51</v>
      </c>
      <c r="H14" s="45">
        <v>25633.040000000001</v>
      </c>
      <c r="I14" s="46">
        <v>45703</v>
      </c>
      <c r="J14" s="44">
        <v>118</v>
      </c>
      <c r="K14" s="45">
        <v>4.4400000000000004</v>
      </c>
      <c r="L14" s="44">
        <v>17</v>
      </c>
      <c r="M14" s="44">
        <v>10</v>
      </c>
      <c r="N14" s="44">
        <v>85</v>
      </c>
      <c r="O14" s="46">
        <v>45737</v>
      </c>
      <c r="P14" s="11" t="str">
        <f t="shared" si="0"/>
        <v>OK</v>
      </c>
      <c r="Q14" s="11" t="str">
        <f t="shared" si="1"/>
        <v>OK</v>
      </c>
      <c r="R14" s="11" t="str">
        <f t="shared" si="2"/>
        <v>OK</v>
      </c>
      <c r="S14" s="11" t="str">
        <f t="shared" si="3"/>
        <v>DUPLICATE SKU</v>
      </c>
    </row>
    <row r="15" spans="1:20" x14ac:dyDescent="0.3">
      <c r="A15" s="43" t="s">
        <v>56</v>
      </c>
      <c r="B15" s="11" t="s">
        <v>57</v>
      </c>
      <c r="C15" s="11" t="s">
        <v>22</v>
      </c>
      <c r="D15" s="11" t="s">
        <v>23</v>
      </c>
      <c r="E15" s="11" t="s">
        <v>28</v>
      </c>
      <c r="F15" s="44">
        <v>567</v>
      </c>
      <c r="G15" s="45">
        <v>16195.52</v>
      </c>
      <c r="H15" s="45">
        <v>25965</v>
      </c>
      <c r="I15" s="46">
        <v>45714</v>
      </c>
      <c r="J15" s="44">
        <v>56</v>
      </c>
      <c r="K15" s="45">
        <v>7.9</v>
      </c>
      <c r="L15" s="44">
        <v>35</v>
      </c>
      <c r="M15" s="44">
        <v>27</v>
      </c>
      <c r="N15" s="44">
        <v>304</v>
      </c>
      <c r="O15" s="46">
        <v>45659</v>
      </c>
      <c r="P15" s="11" t="str">
        <f t="shared" si="0"/>
        <v>OK</v>
      </c>
      <c r="Q15" s="11" t="str">
        <f t="shared" si="1"/>
        <v>OK</v>
      </c>
      <c r="R15" s="11" t="str">
        <f t="shared" si="2"/>
        <v>OK</v>
      </c>
      <c r="S15" s="11" t="str">
        <f t="shared" si="3"/>
        <v>UNIQUE</v>
      </c>
    </row>
    <row r="16" spans="1:20" x14ac:dyDescent="0.3">
      <c r="A16" s="43" t="s">
        <v>58</v>
      </c>
      <c r="B16" s="11" t="s">
        <v>59</v>
      </c>
      <c r="C16" s="11" t="s">
        <v>17</v>
      </c>
      <c r="D16" s="11" t="s">
        <v>60</v>
      </c>
      <c r="E16" s="11" t="s">
        <v>32</v>
      </c>
      <c r="F16" s="44">
        <v>291</v>
      </c>
      <c r="G16" s="45">
        <v>8183.75</v>
      </c>
      <c r="H16" s="45">
        <v>20712.82</v>
      </c>
      <c r="I16" s="46">
        <v>45440</v>
      </c>
      <c r="J16" s="44">
        <v>66</v>
      </c>
      <c r="K16" s="45">
        <v>2.23</v>
      </c>
      <c r="L16" s="44">
        <v>20</v>
      </c>
      <c r="M16" s="44">
        <v>20</v>
      </c>
      <c r="N16" s="44">
        <v>65</v>
      </c>
      <c r="O16" s="46">
        <v>45690</v>
      </c>
      <c r="P16" s="11" t="str">
        <f t="shared" si="0"/>
        <v>OK</v>
      </c>
      <c r="Q16" s="11" t="str">
        <f t="shared" si="1"/>
        <v>OK</v>
      </c>
      <c r="R16" s="11" t="str">
        <f t="shared" si="2"/>
        <v>OK</v>
      </c>
      <c r="S16" s="11" t="str">
        <f t="shared" si="3"/>
        <v>UNIQUE</v>
      </c>
    </row>
    <row r="17" spans="1:19" x14ac:dyDescent="0.3">
      <c r="A17" s="43" t="s">
        <v>61</v>
      </c>
      <c r="B17" s="11" t="s">
        <v>62</v>
      </c>
      <c r="C17" s="11" t="s">
        <v>42</v>
      </c>
      <c r="D17" s="11" t="s">
        <v>39</v>
      </c>
      <c r="E17" s="11" t="s">
        <v>32</v>
      </c>
      <c r="F17" s="44">
        <v>120</v>
      </c>
      <c r="G17" s="45">
        <v>9245.0400000000009</v>
      </c>
      <c r="H17" s="45">
        <v>11086.24</v>
      </c>
      <c r="I17" s="46">
        <v>45613</v>
      </c>
      <c r="J17" s="44">
        <v>20</v>
      </c>
      <c r="K17" s="45">
        <v>4.79</v>
      </c>
      <c r="L17" s="44">
        <v>30</v>
      </c>
      <c r="M17" s="44">
        <v>32</v>
      </c>
      <c r="N17" s="44">
        <v>176</v>
      </c>
      <c r="O17" s="46">
        <v>45412</v>
      </c>
      <c r="P17" s="11" t="str">
        <f t="shared" si="0"/>
        <v>OK</v>
      </c>
      <c r="Q17" s="11" t="str">
        <f t="shared" si="1"/>
        <v>OK</v>
      </c>
      <c r="R17" s="11" t="str">
        <f t="shared" si="2"/>
        <v>OK</v>
      </c>
      <c r="S17" s="11" t="str">
        <f t="shared" si="3"/>
        <v>UNIQUE</v>
      </c>
    </row>
    <row r="18" spans="1:19" x14ac:dyDescent="0.3">
      <c r="A18" s="43" t="s">
        <v>63</v>
      </c>
      <c r="B18" s="11" t="s">
        <v>64</v>
      </c>
      <c r="C18" s="11" t="s">
        <v>31</v>
      </c>
      <c r="D18" s="11" t="s">
        <v>27</v>
      </c>
      <c r="E18" s="11" t="s">
        <v>24</v>
      </c>
      <c r="F18" s="44">
        <v>596</v>
      </c>
      <c r="G18" s="45">
        <v>8775.26</v>
      </c>
      <c r="H18" s="45">
        <v>18259.830000000002</v>
      </c>
      <c r="I18" s="46">
        <v>45747</v>
      </c>
      <c r="J18" s="44">
        <v>89</v>
      </c>
      <c r="K18" s="45">
        <v>7.82</v>
      </c>
      <c r="L18" s="44">
        <v>14</v>
      </c>
      <c r="M18" s="44">
        <v>6</v>
      </c>
      <c r="N18" s="44">
        <v>115</v>
      </c>
      <c r="O18" s="46">
        <v>45334</v>
      </c>
      <c r="P18" s="11" t="str">
        <f t="shared" si="0"/>
        <v>OK</v>
      </c>
      <c r="Q18" s="11" t="str">
        <f t="shared" si="1"/>
        <v>OK</v>
      </c>
      <c r="R18" s="11" t="str">
        <f t="shared" si="2"/>
        <v>OK</v>
      </c>
      <c r="S18" s="11" t="str">
        <f t="shared" si="3"/>
        <v>UNIQUE</v>
      </c>
    </row>
    <row r="19" spans="1:19" x14ac:dyDescent="0.3">
      <c r="A19" s="43" t="s">
        <v>65</v>
      </c>
      <c r="B19" s="11" t="s">
        <v>66</v>
      </c>
      <c r="C19" s="11" t="s">
        <v>42</v>
      </c>
      <c r="D19" s="11" t="s">
        <v>60</v>
      </c>
      <c r="E19" s="11" t="s">
        <v>32</v>
      </c>
      <c r="F19" s="44">
        <v>441</v>
      </c>
      <c r="G19" s="45">
        <v>3548.82</v>
      </c>
      <c r="H19" s="45">
        <v>6544.61</v>
      </c>
      <c r="I19" s="46">
        <v>45731</v>
      </c>
      <c r="J19" s="44">
        <v>110</v>
      </c>
      <c r="K19" s="45">
        <v>5.4</v>
      </c>
      <c r="L19" s="44">
        <v>28</v>
      </c>
      <c r="M19" s="44">
        <v>8</v>
      </c>
      <c r="N19" s="44">
        <v>159</v>
      </c>
      <c r="O19" s="46">
        <v>45633</v>
      </c>
      <c r="P19" s="11" t="str">
        <f t="shared" si="0"/>
        <v>OK</v>
      </c>
      <c r="Q19" s="11" t="str">
        <f t="shared" si="1"/>
        <v>OK</v>
      </c>
      <c r="R19" s="11" t="str">
        <f t="shared" si="2"/>
        <v>OK</v>
      </c>
      <c r="S19" s="11" t="str">
        <f t="shared" si="3"/>
        <v>UNIQUE</v>
      </c>
    </row>
    <row r="20" spans="1:19" x14ac:dyDescent="0.3">
      <c r="A20" s="43" t="s">
        <v>67</v>
      </c>
      <c r="B20" s="11" t="s">
        <v>68</v>
      </c>
      <c r="C20" s="11" t="s">
        <v>17</v>
      </c>
      <c r="D20" s="11" t="s">
        <v>36</v>
      </c>
      <c r="E20" s="11" t="s">
        <v>24</v>
      </c>
      <c r="F20" s="44">
        <v>585</v>
      </c>
      <c r="G20" s="45">
        <v>17655.89</v>
      </c>
      <c r="H20" s="45">
        <v>46675.83</v>
      </c>
      <c r="I20" s="46">
        <v>45740</v>
      </c>
      <c r="J20" s="44">
        <v>10</v>
      </c>
      <c r="K20" s="45">
        <v>1.1299999999999999</v>
      </c>
      <c r="L20" s="44">
        <v>25</v>
      </c>
      <c r="M20" s="44">
        <v>32</v>
      </c>
      <c r="N20" s="44">
        <v>60</v>
      </c>
      <c r="O20" s="46">
        <v>45593</v>
      </c>
      <c r="P20" s="11" t="str">
        <f t="shared" si="0"/>
        <v>OK</v>
      </c>
      <c r="Q20" s="11" t="str">
        <f t="shared" si="1"/>
        <v>OK</v>
      </c>
      <c r="R20" s="11" t="str">
        <f t="shared" si="2"/>
        <v>OK</v>
      </c>
      <c r="S20" s="11" t="str">
        <f t="shared" si="3"/>
        <v>UNIQUE</v>
      </c>
    </row>
    <row r="21" spans="1:19" x14ac:dyDescent="0.3">
      <c r="A21" s="43" t="s">
        <v>69</v>
      </c>
      <c r="B21" s="11" t="s">
        <v>70</v>
      </c>
      <c r="C21" s="11" t="s">
        <v>42</v>
      </c>
      <c r="D21" s="11" t="s">
        <v>18</v>
      </c>
      <c r="E21" s="11" t="s">
        <v>24</v>
      </c>
      <c r="F21" s="44">
        <v>14</v>
      </c>
      <c r="G21" s="45">
        <v>7638.43</v>
      </c>
      <c r="H21" s="45">
        <v>12124.94</v>
      </c>
      <c r="I21" s="46">
        <v>45404</v>
      </c>
      <c r="J21" s="44">
        <v>20</v>
      </c>
      <c r="K21" s="45">
        <v>2.75</v>
      </c>
      <c r="L21" s="44">
        <v>27</v>
      </c>
      <c r="M21" s="44">
        <v>32</v>
      </c>
      <c r="N21" s="44">
        <v>106</v>
      </c>
      <c r="O21" s="46">
        <v>45711</v>
      </c>
      <c r="P21" s="11" t="str">
        <f t="shared" si="0"/>
        <v>OK</v>
      </c>
      <c r="Q21" s="11" t="str">
        <f t="shared" si="1"/>
        <v>OK</v>
      </c>
      <c r="R21" s="11" t="str">
        <f t="shared" si="2"/>
        <v>OK</v>
      </c>
      <c r="S21" s="11" t="str">
        <f t="shared" si="3"/>
        <v>UNIQUE</v>
      </c>
    </row>
    <row r="22" spans="1:19" x14ac:dyDescent="0.3">
      <c r="A22" s="43" t="s">
        <v>71</v>
      </c>
      <c r="B22" s="11" t="s">
        <v>72</v>
      </c>
      <c r="C22" s="11" t="s">
        <v>35</v>
      </c>
      <c r="D22" s="11" t="s">
        <v>73</v>
      </c>
      <c r="E22" s="11" t="s">
        <v>24</v>
      </c>
      <c r="F22" s="44">
        <v>132</v>
      </c>
      <c r="G22" s="45">
        <v>8442.2199999999993</v>
      </c>
      <c r="H22" s="45">
        <v>22467.7</v>
      </c>
      <c r="I22" s="46">
        <v>45418</v>
      </c>
      <c r="J22" s="44">
        <v>102</v>
      </c>
      <c r="K22" s="45">
        <v>7.9</v>
      </c>
      <c r="L22" s="44">
        <v>19</v>
      </c>
      <c r="M22" s="44">
        <v>38</v>
      </c>
      <c r="N22" s="44">
        <v>188</v>
      </c>
      <c r="O22" s="46">
        <v>45301</v>
      </c>
      <c r="P22" s="11" t="str">
        <f t="shared" si="0"/>
        <v>OK</v>
      </c>
      <c r="Q22" s="11" t="str">
        <f t="shared" si="1"/>
        <v>OK</v>
      </c>
      <c r="R22" s="11" t="str">
        <f t="shared" si="2"/>
        <v>OK</v>
      </c>
      <c r="S22" s="11" t="str">
        <f t="shared" si="3"/>
        <v>UNIQUE</v>
      </c>
    </row>
    <row r="23" spans="1:19" x14ac:dyDescent="0.3">
      <c r="A23" s="43" t="s">
        <v>74</v>
      </c>
      <c r="B23" s="11" t="s">
        <v>75</v>
      </c>
      <c r="C23" s="11" t="s">
        <v>17</v>
      </c>
      <c r="D23" s="11" t="s">
        <v>23</v>
      </c>
      <c r="E23" s="11" t="s">
        <v>28</v>
      </c>
      <c r="F23" s="44">
        <v>510</v>
      </c>
      <c r="G23" s="45">
        <v>8871.11</v>
      </c>
      <c r="H23" s="45">
        <v>20228.12</v>
      </c>
      <c r="I23" s="46">
        <v>45475</v>
      </c>
      <c r="J23" s="44">
        <v>2</v>
      </c>
      <c r="K23" s="45">
        <v>1.81</v>
      </c>
      <c r="L23" s="44">
        <v>7</v>
      </c>
      <c r="M23" s="44">
        <v>23</v>
      </c>
      <c r="N23" s="44">
        <v>36</v>
      </c>
      <c r="O23" s="46">
        <v>45543</v>
      </c>
      <c r="P23" s="11" t="str">
        <f t="shared" si="0"/>
        <v>OK</v>
      </c>
      <c r="Q23" s="11" t="str">
        <f t="shared" si="1"/>
        <v>OK</v>
      </c>
      <c r="R23" s="11" t="str">
        <f t="shared" si="2"/>
        <v>OK</v>
      </c>
      <c r="S23" s="11" t="str">
        <f t="shared" si="3"/>
        <v>UNIQUE</v>
      </c>
    </row>
    <row r="24" spans="1:19" x14ac:dyDescent="0.3">
      <c r="A24" s="43" t="s">
        <v>76</v>
      </c>
      <c r="B24" s="11" t="s">
        <v>77</v>
      </c>
      <c r="C24" s="11" t="s">
        <v>35</v>
      </c>
      <c r="D24" s="11" t="s">
        <v>60</v>
      </c>
      <c r="E24" s="11" t="s">
        <v>19</v>
      </c>
      <c r="F24" s="44">
        <v>600</v>
      </c>
      <c r="G24" s="45">
        <v>7357.39</v>
      </c>
      <c r="H24" s="45">
        <v>15281.7</v>
      </c>
      <c r="I24" s="46">
        <v>45563</v>
      </c>
      <c r="J24" s="44">
        <v>79</v>
      </c>
      <c r="K24" s="45">
        <v>5.28</v>
      </c>
      <c r="L24" s="44">
        <v>7</v>
      </c>
      <c r="M24" s="44">
        <v>31</v>
      </c>
      <c r="N24" s="44">
        <v>68</v>
      </c>
      <c r="O24" s="46">
        <v>45625</v>
      </c>
      <c r="P24" s="11" t="str">
        <f t="shared" si="0"/>
        <v>OK</v>
      </c>
      <c r="Q24" s="11" t="str">
        <f t="shared" si="1"/>
        <v>OK</v>
      </c>
      <c r="R24" s="11" t="str">
        <f t="shared" si="2"/>
        <v>OK</v>
      </c>
      <c r="S24" s="11" t="str">
        <f t="shared" si="3"/>
        <v>UNIQUE</v>
      </c>
    </row>
    <row r="25" spans="1:19" x14ac:dyDescent="0.3">
      <c r="A25" s="43" t="s">
        <v>78</v>
      </c>
      <c r="B25" s="11" t="s">
        <v>79</v>
      </c>
      <c r="C25" s="11" t="s">
        <v>35</v>
      </c>
      <c r="D25" s="11" t="s">
        <v>45</v>
      </c>
      <c r="E25" s="11" t="s">
        <v>32</v>
      </c>
      <c r="F25" s="44">
        <v>329</v>
      </c>
      <c r="G25" s="45">
        <v>1193.93</v>
      </c>
      <c r="H25" s="45">
        <v>1459.47</v>
      </c>
      <c r="I25" s="46">
        <v>45684</v>
      </c>
      <c r="J25" s="44">
        <v>74</v>
      </c>
      <c r="K25" s="45">
        <v>7.36</v>
      </c>
      <c r="L25" s="44">
        <v>20</v>
      </c>
      <c r="M25" s="44">
        <v>37</v>
      </c>
      <c r="N25" s="44">
        <v>184</v>
      </c>
      <c r="O25" s="46">
        <v>45456</v>
      </c>
      <c r="P25" s="11" t="str">
        <f t="shared" si="0"/>
        <v>OK</v>
      </c>
      <c r="Q25" s="11" t="str">
        <f t="shared" si="1"/>
        <v>OK</v>
      </c>
      <c r="R25" s="11" t="str">
        <f t="shared" si="2"/>
        <v>OK</v>
      </c>
      <c r="S25" s="11" t="str">
        <f t="shared" si="3"/>
        <v>UNIQUE</v>
      </c>
    </row>
    <row r="26" spans="1:19" x14ac:dyDescent="0.3">
      <c r="A26" s="43" t="s">
        <v>80</v>
      </c>
      <c r="B26" s="11" t="s">
        <v>81</v>
      </c>
      <c r="C26" s="11" t="s">
        <v>31</v>
      </c>
      <c r="D26" s="11" t="s">
        <v>18</v>
      </c>
      <c r="E26" s="11" t="s">
        <v>24</v>
      </c>
      <c r="F26" s="44">
        <v>-9</v>
      </c>
      <c r="G26" s="45">
        <v>415.26</v>
      </c>
      <c r="H26" s="45">
        <v>631.08000000000004</v>
      </c>
      <c r="I26" s="46">
        <v>45770</v>
      </c>
      <c r="J26" s="44">
        <v>6</v>
      </c>
      <c r="K26" s="45">
        <v>4.2300000000000004</v>
      </c>
      <c r="L26" s="44">
        <v>9</v>
      </c>
      <c r="M26" s="44">
        <v>31</v>
      </c>
      <c r="N26" s="44">
        <v>69</v>
      </c>
      <c r="O26" s="46">
        <v>45503</v>
      </c>
      <c r="P26" s="11" t="str">
        <f t="shared" si="0"/>
        <v>OK</v>
      </c>
      <c r="Q26" s="11" t="str">
        <f t="shared" si="1"/>
        <v>NEGATIVE QTY - DATA ERROR</v>
      </c>
      <c r="R26" s="11" t="str">
        <f t="shared" si="2"/>
        <v>OK</v>
      </c>
      <c r="S26" s="11" t="str">
        <f t="shared" si="3"/>
        <v>UNIQUE</v>
      </c>
    </row>
    <row r="27" spans="1:19" x14ac:dyDescent="0.3">
      <c r="A27" s="43" t="s">
        <v>82</v>
      </c>
      <c r="B27" s="11" t="s">
        <v>83</v>
      </c>
      <c r="C27" s="11" t="s">
        <v>22</v>
      </c>
      <c r="D27" s="11" t="s">
        <v>27</v>
      </c>
      <c r="E27" s="11" t="s">
        <v>32</v>
      </c>
      <c r="F27" s="44">
        <v>415</v>
      </c>
      <c r="G27" s="45">
        <v>1485.68</v>
      </c>
      <c r="H27" s="45">
        <v>2325.44</v>
      </c>
      <c r="I27" s="46">
        <v>45770</v>
      </c>
      <c r="J27" s="44">
        <v>109</v>
      </c>
      <c r="K27" s="45">
        <v>3.07</v>
      </c>
      <c r="L27" s="44">
        <v>15</v>
      </c>
      <c r="M27" s="44">
        <v>39</v>
      </c>
      <c r="N27" s="44">
        <v>85</v>
      </c>
      <c r="O27" s="46">
        <v>45640</v>
      </c>
      <c r="P27" s="11" t="str">
        <f t="shared" si="0"/>
        <v>OK</v>
      </c>
      <c r="Q27" s="11" t="str">
        <f t="shared" si="1"/>
        <v>OK</v>
      </c>
      <c r="R27" s="11" t="str">
        <f t="shared" si="2"/>
        <v>OK</v>
      </c>
      <c r="S27" s="11" t="str">
        <f t="shared" si="3"/>
        <v>UNIQUE</v>
      </c>
    </row>
    <row r="28" spans="1:19" x14ac:dyDescent="0.3">
      <c r="A28" s="43" t="s">
        <v>84</v>
      </c>
      <c r="B28" s="11" t="s">
        <v>85</v>
      </c>
      <c r="C28" s="11" t="s">
        <v>31</v>
      </c>
      <c r="D28" s="11" t="s">
        <v>23</v>
      </c>
      <c r="E28" s="11" t="s">
        <v>28</v>
      </c>
      <c r="F28" s="44">
        <v>187</v>
      </c>
      <c r="G28" s="45">
        <v>1758.88</v>
      </c>
      <c r="H28" s="45">
        <v>4178.6899999999996</v>
      </c>
      <c r="I28" s="46">
        <v>45710</v>
      </c>
      <c r="J28" s="44">
        <v>100</v>
      </c>
      <c r="K28" s="45">
        <v>4.2699999999999996</v>
      </c>
      <c r="L28" s="44">
        <v>22</v>
      </c>
      <c r="M28" s="44">
        <v>28</v>
      </c>
      <c r="N28" s="44">
        <v>122</v>
      </c>
      <c r="O28" s="46">
        <v>45378</v>
      </c>
      <c r="P28" s="11" t="str">
        <f t="shared" si="0"/>
        <v>OK</v>
      </c>
      <c r="Q28" s="11" t="str">
        <f t="shared" si="1"/>
        <v>OK</v>
      </c>
      <c r="R28" s="11" t="str">
        <f t="shared" si="2"/>
        <v>OK</v>
      </c>
      <c r="S28" s="11" t="str">
        <f t="shared" si="3"/>
        <v>UNIQUE</v>
      </c>
    </row>
    <row r="29" spans="1:19" x14ac:dyDescent="0.3">
      <c r="A29" s="43" t="s">
        <v>86</v>
      </c>
      <c r="B29" s="11" t="s">
        <v>87</v>
      </c>
      <c r="C29" s="11" t="s">
        <v>31</v>
      </c>
      <c r="D29" s="11" t="s">
        <v>18</v>
      </c>
      <c r="E29" s="11" t="s">
        <v>19</v>
      </c>
      <c r="F29" s="44">
        <v>569</v>
      </c>
      <c r="G29" s="45">
        <v>1322.43</v>
      </c>
      <c r="H29" s="45">
        <v>2887.62</v>
      </c>
      <c r="I29" s="46">
        <v>45608</v>
      </c>
      <c r="J29" s="44">
        <v>48</v>
      </c>
      <c r="K29" s="45">
        <v>2.39</v>
      </c>
      <c r="L29" s="44">
        <v>24</v>
      </c>
      <c r="M29" s="44">
        <v>38</v>
      </c>
      <c r="N29" s="44">
        <v>95</v>
      </c>
      <c r="O29" s="46">
        <v>45540</v>
      </c>
      <c r="P29" s="11" t="str">
        <f t="shared" si="0"/>
        <v>OK</v>
      </c>
      <c r="Q29" s="11" t="str">
        <f t="shared" si="1"/>
        <v>OK</v>
      </c>
      <c r="R29" s="11" t="str">
        <f t="shared" si="2"/>
        <v>OK</v>
      </c>
      <c r="S29" s="11" t="str">
        <f t="shared" si="3"/>
        <v>UNIQUE</v>
      </c>
    </row>
    <row r="30" spans="1:19" x14ac:dyDescent="0.3">
      <c r="A30" s="43" t="s">
        <v>88</v>
      </c>
      <c r="B30" s="11" t="s">
        <v>89</v>
      </c>
      <c r="C30" s="11" t="s">
        <v>22</v>
      </c>
      <c r="D30" s="11" t="s">
        <v>39</v>
      </c>
      <c r="E30" s="11" t="s">
        <v>24</v>
      </c>
      <c r="F30" s="44">
        <v>69</v>
      </c>
      <c r="G30" s="45">
        <v>2809.46</v>
      </c>
      <c r="H30" s="45">
        <v>3817.94</v>
      </c>
      <c r="I30" s="46">
        <v>45724</v>
      </c>
      <c r="J30" s="44">
        <v>39</v>
      </c>
      <c r="K30" s="45">
        <v>3.54</v>
      </c>
      <c r="L30" s="44">
        <v>24</v>
      </c>
      <c r="M30" s="44">
        <v>23</v>
      </c>
      <c r="N30" s="44">
        <v>108</v>
      </c>
      <c r="O30" s="46">
        <v>45536</v>
      </c>
      <c r="P30" s="11" t="str">
        <f t="shared" si="0"/>
        <v>OK</v>
      </c>
      <c r="Q30" s="11" t="str">
        <f t="shared" si="1"/>
        <v>OK</v>
      </c>
      <c r="R30" s="11" t="str">
        <f t="shared" si="2"/>
        <v>OK</v>
      </c>
      <c r="S30" s="11" t="str">
        <f t="shared" si="3"/>
        <v>UNIQUE</v>
      </c>
    </row>
    <row r="31" spans="1:19" x14ac:dyDescent="0.3">
      <c r="A31" s="43" t="s">
        <v>90</v>
      </c>
      <c r="B31" s="11" t="s">
        <v>91</v>
      </c>
      <c r="C31" s="11" t="s">
        <v>17</v>
      </c>
      <c r="D31" s="11" t="s">
        <v>36</v>
      </c>
      <c r="E31" s="11" t="s">
        <v>24</v>
      </c>
      <c r="F31" s="44">
        <v>265</v>
      </c>
      <c r="G31" s="45">
        <v>6054.62</v>
      </c>
      <c r="H31" s="45">
        <v>9536.8700000000008</v>
      </c>
      <c r="I31" s="46">
        <v>45757</v>
      </c>
      <c r="J31" s="44">
        <v>92</v>
      </c>
      <c r="K31" s="45">
        <v>1</v>
      </c>
      <c r="L31" s="44">
        <v>11</v>
      </c>
      <c r="M31" s="44">
        <v>25</v>
      </c>
      <c r="N31" s="44">
        <v>36</v>
      </c>
      <c r="O31" s="46">
        <v>45619</v>
      </c>
      <c r="P31" s="11" t="str">
        <f t="shared" si="0"/>
        <v>OK</v>
      </c>
      <c r="Q31" s="11" t="str">
        <f t="shared" si="1"/>
        <v>OK</v>
      </c>
      <c r="R31" s="11" t="str">
        <f t="shared" si="2"/>
        <v>OK</v>
      </c>
      <c r="S31" s="11" t="str">
        <f t="shared" si="3"/>
        <v>UNIQUE</v>
      </c>
    </row>
    <row r="32" spans="1:19" x14ac:dyDescent="0.3">
      <c r="A32" s="43" t="s">
        <v>92</v>
      </c>
      <c r="B32" s="11" t="s">
        <v>93</v>
      </c>
      <c r="C32" s="11" t="s">
        <v>35</v>
      </c>
      <c r="D32" s="11" t="s">
        <v>36</v>
      </c>
      <c r="E32" s="11" t="s">
        <v>24</v>
      </c>
      <c r="F32" s="44">
        <v>262</v>
      </c>
      <c r="G32" s="45">
        <v>16765.060000000001</v>
      </c>
      <c r="H32" s="45">
        <v>43113.49</v>
      </c>
      <c r="I32" s="46">
        <v>45366</v>
      </c>
      <c r="J32" s="44">
        <v>100</v>
      </c>
      <c r="K32" s="45">
        <v>3.09</v>
      </c>
      <c r="L32" s="44">
        <v>27</v>
      </c>
      <c r="M32" s="44">
        <v>11</v>
      </c>
      <c r="N32" s="44">
        <v>94</v>
      </c>
      <c r="O32" s="46">
        <v>45581</v>
      </c>
      <c r="P32" s="11" t="str">
        <f t="shared" si="0"/>
        <v>OK</v>
      </c>
      <c r="Q32" s="11" t="str">
        <f t="shared" si="1"/>
        <v>OK</v>
      </c>
      <c r="R32" s="11" t="str">
        <f t="shared" si="2"/>
        <v>OK</v>
      </c>
      <c r="S32" s="11" t="str">
        <f t="shared" si="3"/>
        <v>UNIQUE</v>
      </c>
    </row>
    <row r="33" spans="1:19" x14ac:dyDescent="0.3">
      <c r="A33" s="43" t="s">
        <v>94</v>
      </c>
      <c r="B33" s="11" t="s">
        <v>95</v>
      </c>
      <c r="C33" s="11" t="s">
        <v>42</v>
      </c>
      <c r="D33" s="11" t="s">
        <v>45</v>
      </c>
      <c r="E33" s="11" t="s">
        <v>32</v>
      </c>
      <c r="F33" s="44">
        <v>356</v>
      </c>
      <c r="G33" s="45">
        <v>15943.47</v>
      </c>
      <c r="H33" s="45">
        <v>38443.629999999997</v>
      </c>
      <c r="I33" s="46">
        <v>45753</v>
      </c>
      <c r="J33" s="44">
        <v>55</v>
      </c>
      <c r="K33" s="45">
        <v>0.08</v>
      </c>
      <c r="L33" s="44">
        <v>10</v>
      </c>
      <c r="M33" s="44">
        <v>34</v>
      </c>
      <c r="N33" s="44">
        <v>35</v>
      </c>
      <c r="O33" s="46">
        <v>45315</v>
      </c>
      <c r="P33" s="11" t="str">
        <f t="shared" si="0"/>
        <v>OK</v>
      </c>
      <c r="Q33" s="11" t="str">
        <f t="shared" si="1"/>
        <v>OK</v>
      </c>
      <c r="R33" s="11" t="str">
        <f t="shared" si="2"/>
        <v>OK</v>
      </c>
      <c r="S33" s="11" t="str">
        <f t="shared" si="3"/>
        <v>UNIQUE</v>
      </c>
    </row>
    <row r="34" spans="1:19" x14ac:dyDescent="0.3">
      <c r="A34" s="43" t="s">
        <v>96</v>
      </c>
      <c r="B34" s="11" t="s">
        <v>97</v>
      </c>
      <c r="C34" s="11" t="s">
        <v>17</v>
      </c>
      <c r="D34" s="11" t="s">
        <v>73</v>
      </c>
      <c r="E34" s="11" t="s">
        <v>19</v>
      </c>
      <c r="F34" s="44">
        <v>437</v>
      </c>
      <c r="G34" s="45">
        <v>5480.24</v>
      </c>
      <c r="H34" s="45">
        <v>14347.04</v>
      </c>
      <c r="I34" s="46">
        <v>45503</v>
      </c>
      <c r="J34" s="44">
        <v>94</v>
      </c>
      <c r="K34" s="45">
        <v>3.93</v>
      </c>
      <c r="L34" s="44">
        <v>22</v>
      </c>
      <c r="M34" s="44">
        <v>19</v>
      </c>
      <c r="N34" s="44">
        <v>105</v>
      </c>
      <c r="O34" s="46">
        <v>45330</v>
      </c>
      <c r="P34" s="11" t="str">
        <f t="shared" si="0"/>
        <v>OK</v>
      </c>
      <c r="Q34" s="11" t="str">
        <f t="shared" si="1"/>
        <v>OK</v>
      </c>
      <c r="R34" s="11" t="str">
        <f t="shared" si="2"/>
        <v>OK</v>
      </c>
      <c r="S34" s="11" t="str">
        <f t="shared" si="3"/>
        <v>UNIQUE</v>
      </c>
    </row>
    <row r="35" spans="1:19" x14ac:dyDescent="0.3">
      <c r="A35" s="43" t="s">
        <v>98</v>
      </c>
      <c r="B35" s="11" t="s">
        <v>99</v>
      </c>
      <c r="C35" s="11" t="s">
        <v>42</v>
      </c>
      <c r="D35" s="11" t="s">
        <v>36</v>
      </c>
      <c r="E35" s="11" t="s">
        <v>19</v>
      </c>
      <c r="F35" s="44">
        <v>263</v>
      </c>
      <c r="G35" s="45">
        <v>8157.75</v>
      </c>
      <c r="H35" s="45">
        <v>12954.15</v>
      </c>
      <c r="I35" s="46">
        <v>43831</v>
      </c>
      <c r="J35" s="44">
        <v>9</v>
      </c>
      <c r="K35" s="45">
        <v>0.83</v>
      </c>
      <c r="L35" s="44">
        <v>19</v>
      </c>
      <c r="M35" s="44">
        <v>40</v>
      </c>
      <c r="N35" s="44">
        <v>56</v>
      </c>
      <c r="O35" s="46">
        <v>45552</v>
      </c>
      <c r="P35" s="11" t="str">
        <f t="shared" si="0"/>
        <v>NO SALE RECORDED</v>
      </c>
      <c r="Q35" s="11" t="str">
        <f t="shared" si="1"/>
        <v>OK</v>
      </c>
      <c r="R35" s="11" t="str">
        <f t="shared" si="2"/>
        <v>OK</v>
      </c>
      <c r="S35" s="11" t="str">
        <f t="shared" si="3"/>
        <v>DUPLICATE SKU</v>
      </c>
    </row>
    <row r="36" spans="1:19" x14ac:dyDescent="0.3">
      <c r="A36" s="43" t="s">
        <v>100</v>
      </c>
      <c r="B36" s="11" t="s">
        <v>101</v>
      </c>
      <c r="C36" s="11" t="s">
        <v>35</v>
      </c>
      <c r="D36" s="11" t="s">
        <v>60</v>
      </c>
      <c r="E36" s="11" t="s">
        <v>24</v>
      </c>
      <c r="F36" s="44">
        <v>396</v>
      </c>
      <c r="G36" s="45">
        <v>10046.26</v>
      </c>
      <c r="H36" s="45">
        <v>22474.3</v>
      </c>
      <c r="I36" s="46">
        <v>45705</v>
      </c>
      <c r="J36" s="44">
        <v>115</v>
      </c>
      <c r="K36" s="45">
        <v>3.28</v>
      </c>
      <c r="L36" s="44">
        <v>10</v>
      </c>
      <c r="M36" s="44">
        <v>24</v>
      </c>
      <c r="N36" s="44">
        <v>57</v>
      </c>
      <c r="O36" s="46">
        <v>45534</v>
      </c>
      <c r="P36" s="11" t="str">
        <f t="shared" si="0"/>
        <v>OK</v>
      </c>
      <c r="Q36" s="11" t="str">
        <f t="shared" si="1"/>
        <v>OK</v>
      </c>
      <c r="R36" s="11" t="str">
        <f t="shared" si="2"/>
        <v>OK</v>
      </c>
      <c r="S36" s="11" t="str">
        <f t="shared" si="3"/>
        <v>UNIQUE</v>
      </c>
    </row>
    <row r="37" spans="1:19" x14ac:dyDescent="0.3">
      <c r="A37" s="43" t="s">
        <v>102</v>
      </c>
      <c r="B37" s="11" t="s">
        <v>103</v>
      </c>
      <c r="C37" s="11" t="s">
        <v>31</v>
      </c>
      <c r="D37" s="11" t="s">
        <v>27</v>
      </c>
      <c r="E37" s="11" t="s">
        <v>28</v>
      </c>
      <c r="F37" s="44">
        <v>239</v>
      </c>
      <c r="G37" s="45">
        <v>2205.7800000000002</v>
      </c>
      <c r="H37" s="45">
        <v>2992.08</v>
      </c>
      <c r="I37" s="46">
        <v>45749</v>
      </c>
      <c r="J37" s="44">
        <v>92</v>
      </c>
      <c r="K37" s="45">
        <v>7.74</v>
      </c>
      <c r="L37" s="44">
        <v>26</v>
      </c>
      <c r="M37" s="44">
        <v>30</v>
      </c>
      <c r="N37" s="44">
        <v>231</v>
      </c>
      <c r="O37" s="46">
        <v>45486</v>
      </c>
      <c r="P37" s="11" t="str">
        <f t="shared" si="0"/>
        <v>OK</v>
      </c>
      <c r="Q37" s="11" t="str">
        <f t="shared" si="1"/>
        <v>OK</v>
      </c>
      <c r="R37" s="11" t="str">
        <f t="shared" si="2"/>
        <v>OK</v>
      </c>
      <c r="S37" s="11" t="str">
        <f t="shared" si="3"/>
        <v>UNIQUE</v>
      </c>
    </row>
    <row r="38" spans="1:19" x14ac:dyDescent="0.3">
      <c r="A38" s="43" t="s">
        <v>104</v>
      </c>
      <c r="B38" s="11" t="s">
        <v>105</v>
      </c>
      <c r="C38" s="11" t="s">
        <v>22</v>
      </c>
      <c r="D38" s="11" t="s">
        <v>73</v>
      </c>
      <c r="E38" s="11" t="s">
        <v>24</v>
      </c>
      <c r="F38" s="44">
        <v>337</v>
      </c>
      <c r="G38" s="45">
        <v>6084.05</v>
      </c>
      <c r="H38" s="45">
        <v>10669.68</v>
      </c>
      <c r="I38" s="46">
        <v>45733</v>
      </c>
      <c r="J38" s="44">
        <v>89</v>
      </c>
      <c r="K38" s="45">
        <v>1.91</v>
      </c>
      <c r="L38" s="44">
        <v>12</v>
      </c>
      <c r="M38" s="44">
        <v>29</v>
      </c>
      <c r="N38" s="44">
        <v>52</v>
      </c>
      <c r="O38" s="46">
        <v>45421</v>
      </c>
      <c r="P38" s="11" t="str">
        <f t="shared" si="0"/>
        <v>OK</v>
      </c>
      <c r="Q38" s="11" t="str">
        <f t="shared" si="1"/>
        <v>OK</v>
      </c>
      <c r="R38" s="11" t="str">
        <f t="shared" si="2"/>
        <v>OK</v>
      </c>
      <c r="S38" s="11" t="str">
        <f t="shared" si="3"/>
        <v>UNIQUE</v>
      </c>
    </row>
    <row r="39" spans="1:19" x14ac:dyDescent="0.3">
      <c r="A39" s="43" t="s">
        <v>106</v>
      </c>
      <c r="B39" s="11" t="s">
        <v>107</v>
      </c>
      <c r="C39" s="11" t="s">
        <v>17</v>
      </c>
      <c r="D39" s="11" t="s">
        <v>27</v>
      </c>
      <c r="E39" s="11" t="s">
        <v>24</v>
      </c>
      <c r="F39" s="44">
        <v>425</v>
      </c>
      <c r="G39" s="45">
        <v>12537</v>
      </c>
      <c r="H39" s="45">
        <v>15394.24</v>
      </c>
      <c r="I39" s="46">
        <v>45487</v>
      </c>
      <c r="J39" s="44">
        <v>59</v>
      </c>
      <c r="K39" s="45">
        <v>1.69</v>
      </c>
      <c r="L39" s="44">
        <v>18</v>
      </c>
      <c r="M39" s="44">
        <v>8</v>
      </c>
      <c r="N39" s="44">
        <v>38</v>
      </c>
      <c r="O39" s="46">
        <v>45516</v>
      </c>
      <c r="P39" s="11" t="str">
        <f t="shared" si="0"/>
        <v>OK</v>
      </c>
      <c r="Q39" s="11" t="str">
        <f t="shared" si="1"/>
        <v>OK</v>
      </c>
      <c r="R39" s="11" t="str">
        <f t="shared" si="2"/>
        <v>OK</v>
      </c>
      <c r="S39" s="11" t="str">
        <f t="shared" si="3"/>
        <v>UNIQUE</v>
      </c>
    </row>
    <row r="40" spans="1:19" x14ac:dyDescent="0.3">
      <c r="A40" s="43" t="s">
        <v>108</v>
      </c>
      <c r="B40" s="11" t="s">
        <v>109</v>
      </c>
      <c r="C40" s="11" t="s">
        <v>31</v>
      </c>
      <c r="D40" s="11" t="s">
        <v>60</v>
      </c>
      <c r="E40" s="11" t="s">
        <v>28</v>
      </c>
      <c r="F40" s="44">
        <v>294</v>
      </c>
      <c r="G40" s="45">
        <v>15031.42</v>
      </c>
      <c r="H40" s="45">
        <v>40548.9</v>
      </c>
      <c r="I40" s="46">
        <v>45711</v>
      </c>
      <c r="J40" s="44">
        <v>47</v>
      </c>
      <c r="K40" s="45">
        <v>3.59</v>
      </c>
      <c r="L40" s="44">
        <v>11</v>
      </c>
      <c r="M40" s="44">
        <v>33</v>
      </c>
      <c r="N40" s="44">
        <v>72</v>
      </c>
      <c r="O40" s="46">
        <v>45729</v>
      </c>
      <c r="P40" s="11" t="str">
        <f t="shared" si="0"/>
        <v>OK</v>
      </c>
      <c r="Q40" s="11" t="str">
        <f t="shared" si="1"/>
        <v>OK</v>
      </c>
      <c r="R40" s="11" t="str">
        <f t="shared" si="2"/>
        <v>OK</v>
      </c>
      <c r="S40" s="11" t="str">
        <f t="shared" si="3"/>
        <v>UNIQUE</v>
      </c>
    </row>
    <row r="41" spans="1:19" x14ac:dyDescent="0.3">
      <c r="A41" s="43" t="s">
        <v>110</v>
      </c>
      <c r="B41" s="11" t="s">
        <v>111</v>
      </c>
      <c r="C41" s="11" t="s">
        <v>17</v>
      </c>
      <c r="D41" s="11" t="s">
        <v>39</v>
      </c>
      <c r="E41" s="11" t="s">
        <v>19</v>
      </c>
      <c r="F41" s="44">
        <v>206</v>
      </c>
      <c r="G41" s="45">
        <v>9514.77</v>
      </c>
      <c r="H41" s="45">
        <v>12263.43</v>
      </c>
      <c r="I41" s="46">
        <v>45750</v>
      </c>
      <c r="J41" s="44">
        <v>46</v>
      </c>
      <c r="K41" s="45">
        <v>0.16</v>
      </c>
      <c r="L41" s="44">
        <v>10</v>
      </c>
      <c r="M41" s="44">
        <v>24</v>
      </c>
      <c r="N41" s="44">
        <v>26</v>
      </c>
      <c r="O41" s="46">
        <v>45434</v>
      </c>
      <c r="P41" s="11" t="str">
        <f t="shared" si="0"/>
        <v>OK</v>
      </c>
      <c r="Q41" s="11" t="str">
        <f t="shared" si="1"/>
        <v>OK</v>
      </c>
      <c r="R41" s="11" t="str">
        <f t="shared" si="2"/>
        <v>OK</v>
      </c>
      <c r="S41" s="11" t="str">
        <f t="shared" si="3"/>
        <v>UNIQUE</v>
      </c>
    </row>
    <row r="42" spans="1:19" x14ac:dyDescent="0.3">
      <c r="A42" s="43" t="s">
        <v>112</v>
      </c>
      <c r="B42" s="11" t="s">
        <v>113</v>
      </c>
      <c r="C42" s="11" t="s">
        <v>35</v>
      </c>
      <c r="D42" s="11" t="s">
        <v>18</v>
      </c>
      <c r="E42" s="11" t="s">
        <v>24</v>
      </c>
      <c r="F42" s="44">
        <v>597</v>
      </c>
      <c r="G42" s="45">
        <v>11061.24</v>
      </c>
      <c r="H42" s="45">
        <v>20851.53</v>
      </c>
      <c r="I42" s="46">
        <v>45440</v>
      </c>
      <c r="J42" s="44">
        <v>89</v>
      </c>
      <c r="K42" s="45">
        <v>3.23</v>
      </c>
      <c r="L42" s="44">
        <v>17</v>
      </c>
      <c r="M42" s="44">
        <v>36</v>
      </c>
      <c r="N42" s="44">
        <v>91</v>
      </c>
      <c r="O42" s="46">
        <v>45648</v>
      </c>
      <c r="P42" s="11" t="str">
        <f t="shared" si="0"/>
        <v>OK</v>
      </c>
      <c r="Q42" s="11" t="str">
        <f t="shared" si="1"/>
        <v>OK</v>
      </c>
      <c r="R42" s="11" t="str">
        <f t="shared" si="2"/>
        <v>OK</v>
      </c>
      <c r="S42" s="11" t="str">
        <f t="shared" si="3"/>
        <v>UNIQUE</v>
      </c>
    </row>
    <row r="43" spans="1:19" x14ac:dyDescent="0.3">
      <c r="A43" s="43" t="s">
        <v>114</v>
      </c>
      <c r="B43" s="11" t="s">
        <v>115</v>
      </c>
      <c r="C43" s="11" t="s">
        <v>35</v>
      </c>
      <c r="D43" s="11" t="s">
        <v>18</v>
      </c>
      <c r="E43" s="11" t="s">
        <v>19</v>
      </c>
      <c r="F43" s="44">
        <v>-20</v>
      </c>
      <c r="G43" s="45">
        <v>11672.19</v>
      </c>
      <c r="H43" s="45">
        <v>31290.23</v>
      </c>
      <c r="I43" s="46">
        <v>45693</v>
      </c>
      <c r="J43" s="44">
        <v>72</v>
      </c>
      <c r="K43" s="45">
        <v>4.32</v>
      </c>
      <c r="L43" s="44">
        <v>8</v>
      </c>
      <c r="M43" s="44">
        <v>9</v>
      </c>
      <c r="N43" s="44">
        <v>44</v>
      </c>
      <c r="O43" s="46">
        <v>45571</v>
      </c>
      <c r="P43" s="11" t="str">
        <f t="shared" si="0"/>
        <v>OK</v>
      </c>
      <c r="Q43" s="11" t="str">
        <f t="shared" si="1"/>
        <v>NEGATIVE QTY - DATA ERROR</v>
      </c>
      <c r="R43" s="11" t="str">
        <f t="shared" si="2"/>
        <v>OK</v>
      </c>
      <c r="S43" s="11" t="str">
        <f t="shared" si="3"/>
        <v>UNIQUE</v>
      </c>
    </row>
    <row r="44" spans="1:19" x14ac:dyDescent="0.3">
      <c r="A44" s="43" t="s">
        <v>116</v>
      </c>
      <c r="B44" s="11" t="s">
        <v>117</v>
      </c>
      <c r="C44" s="11" t="s">
        <v>31</v>
      </c>
      <c r="D44" s="11" t="s">
        <v>18</v>
      </c>
      <c r="E44" s="11" t="s">
        <v>24</v>
      </c>
      <c r="F44" s="44">
        <v>388</v>
      </c>
      <c r="G44" s="45">
        <v>12159.99</v>
      </c>
      <c r="H44" s="45">
        <v>25561.040000000001</v>
      </c>
      <c r="I44" s="46">
        <v>45495</v>
      </c>
      <c r="J44" s="44">
        <v>29</v>
      </c>
      <c r="K44" s="45">
        <v>4.9800000000000004</v>
      </c>
      <c r="L44" s="44">
        <v>20</v>
      </c>
      <c r="M44" s="44">
        <v>6</v>
      </c>
      <c r="N44" s="44">
        <v>106</v>
      </c>
      <c r="O44" s="46">
        <v>45295</v>
      </c>
      <c r="P44" s="11" t="str">
        <f t="shared" si="0"/>
        <v>OK</v>
      </c>
      <c r="Q44" s="11" t="str">
        <f t="shared" si="1"/>
        <v>OK</v>
      </c>
      <c r="R44" s="11" t="str">
        <f t="shared" si="2"/>
        <v>OK</v>
      </c>
      <c r="S44" s="11" t="str">
        <f t="shared" si="3"/>
        <v>UNIQUE</v>
      </c>
    </row>
    <row r="45" spans="1:19" x14ac:dyDescent="0.3">
      <c r="A45" s="43" t="s">
        <v>118</v>
      </c>
      <c r="B45" s="11" t="s">
        <v>119</v>
      </c>
      <c r="C45" s="11" t="s">
        <v>22</v>
      </c>
      <c r="D45" s="11" t="s">
        <v>23</v>
      </c>
      <c r="E45" s="11" t="s">
        <v>24</v>
      </c>
      <c r="F45" s="44">
        <v>124</v>
      </c>
      <c r="G45" s="45">
        <v>7432.63</v>
      </c>
      <c r="H45" s="45">
        <v>18831.03</v>
      </c>
      <c r="I45" s="46">
        <v>45727</v>
      </c>
      <c r="J45" s="44">
        <v>15</v>
      </c>
      <c r="K45" s="45">
        <v>4.01</v>
      </c>
      <c r="L45" s="44">
        <v>25</v>
      </c>
      <c r="M45" s="44">
        <v>14</v>
      </c>
      <c r="N45" s="44">
        <v>114</v>
      </c>
      <c r="O45" s="46">
        <v>45636</v>
      </c>
      <c r="P45" s="11" t="str">
        <f t="shared" si="0"/>
        <v>OK</v>
      </c>
      <c r="Q45" s="11" t="str">
        <f t="shared" si="1"/>
        <v>OK</v>
      </c>
      <c r="R45" s="11" t="str">
        <f t="shared" si="2"/>
        <v>OK</v>
      </c>
      <c r="S45" s="11" t="str">
        <f t="shared" si="3"/>
        <v>UNIQUE</v>
      </c>
    </row>
    <row r="46" spans="1:19" x14ac:dyDescent="0.3">
      <c r="A46" s="43" t="s">
        <v>120</v>
      </c>
      <c r="B46" s="11" t="s">
        <v>121</v>
      </c>
      <c r="C46" s="11" t="s">
        <v>31</v>
      </c>
      <c r="D46" s="11" t="s">
        <v>73</v>
      </c>
      <c r="E46" s="11" t="s">
        <v>19</v>
      </c>
      <c r="F46" s="44">
        <v>319</v>
      </c>
      <c r="G46" s="45">
        <v>7438.08</v>
      </c>
      <c r="H46" s="45">
        <v>20155.11</v>
      </c>
      <c r="I46" s="46">
        <v>45754</v>
      </c>
      <c r="J46" s="44">
        <v>14</v>
      </c>
      <c r="K46" s="45">
        <v>7.1</v>
      </c>
      <c r="L46" s="44">
        <v>8</v>
      </c>
      <c r="M46" s="44">
        <v>20</v>
      </c>
      <c r="N46" s="44">
        <v>77</v>
      </c>
      <c r="O46" s="46">
        <v>45307</v>
      </c>
      <c r="P46" s="11" t="str">
        <f t="shared" si="0"/>
        <v>OK</v>
      </c>
      <c r="Q46" s="11" t="str">
        <f t="shared" si="1"/>
        <v>OK</v>
      </c>
      <c r="R46" s="11" t="str">
        <f t="shared" si="2"/>
        <v>OK</v>
      </c>
      <c r="S46" s="11" t="str">
        <f t="shared" si="3"/>
        <v>UNIQUE</v>
      </c>
    </row>
    <row r="47" spans="1:19" x14ac:dyDescent="0.3">
      <c r="A47" s="43" t="s">
        <v>122</v>
      </c>
      <c r="B47" s="11" t="s">
        <v>123</v>
      </c>
      <c r="C47" s="11" t="s">
        <v>31</v>
      </c>
      <c r="D47" s="11" t="s">
        <v>23</v>
      </c>
      <c r="E47" s="11" t="s">
        <v>32</v>
      </c>
      <c r="F47" s="44">
        <v>232</v>
      </c>
      <c r="G47" s="45">
        <v>13996.98</v>
      </c>
      <c r="H47" s="45">
        <v>34533.99</v>
      </c>
      <c r="I47" s="46">
        <v>45765</v>
      </c>
      <c r="J47" s="44">
        <v>79</v>
      </c>
      <c r="K47" s="45">
        <v>5.04</v>
      </c>
      <c r="L47" s="44">
        <v>13</v>
      </c>
      <c r="M47" s="44">
        <v>13</v>
      </c>
      <c r="N47" s="44">
        <v>79</v>
      </c>
      <c r="O47" s="46">
        <v>45464</v>
      </c>
      <c r="P47" s="11" t="str">
        <f t="shared" si="0"/>
        <v>OK</v>
      </c>
      <c r="Q47" s="11" t="str">
        <f t="shared" si="1"/>
        <v>OK</v>
      </c>
      <c r="R47" s="11" t="str">
        <f t="shared" si="2"/>
        <v>OK</v>
      </c>
      <c r="S47" s="11" t="str">
        <f t="shared" si="3"/>
        <v>UNIQUE</v>
      </c>
    </row>
    <row r="48" spans="1:19" x14ac:dyDescent="0.3">
      <c r="A48" s="43" t="s">
        <v>124</v>
      </c>
      <c r="B48" s="11" t="s">
        <v>125</v>
      </c>
      <c r="C48" s="11" t="s">
        <v>42</v>
      </c>
      <c r="D48" s="11" t="s">
        <v>73</v>
      </c>
      <c r="E48" s="11" t="s">
        <v>19</v>
      </c>
      <c r="F48" s="44">
        <v>78</v>
      </c>
      <c r="G48" s="45">
        <v>17053.05</v>
      </c>
      <c r="H48" s="45">
        <v>33022.620000000003</v>
      </c>
      <c r="I48" s="46">
        <v>45393</v>
      </c>
      <c r="J48" s="44">
        <v>68</v>
      </c>
      <c r="K48" s="45">
        <v>1.07</v>
      </c>
      <c r="L48" s="44">
        <v>29</v>
      </c>
      <c r="M48" s="44">
        <v>13</v>
      </c>
      <c r="N48" s="44">
        <v>44</v>
      </c>
      <c r="O48" s="46">
        <v>45285</v>
      </c>
      <c r="P48" s="11" t="str">
        <f t="shared" si="0"/>
        <v>OK</v>
      </c>
      <c r="Q48" s="11" t="str">
        <f t="shared" si="1"/>
        <v>OK</v>
      </c>
      <c r="R48" s="11" t="str">
        <f t="shared" si="2"/>
        <v>OK</v>
      </c>
      <c r="S48" s="11" t="str">
        <f t="shared" si="3"/>
        <v>UNIQUE</v>
      </c>
    </row>
    <row r="49" spans="1:19" x14ac:dyDescent="0.3">
      <c r="A49" s="43" t="s">
        <v>126</v>
      </c>
      <c r="B49" s="11" t="s">
        <v>127</v>
      </c>
      <c r="C49" s="11" t="s">
        <v>31</v>
      </c>
      <c r="D49" s="11" t="s">
        <v>45</v>
      </c>
      <c r="E49" s="11" t="s">
        <v>32</v>
      </c>
      <c r="F49" s="44">
        <v>159</v>
      </c>
      <c r="G49" s="45">
        <v>10616.94</v>
      </c>
      <c r="H49" s="45">
        <v>16046.84</v>
      </c>
      <c r="I49" s="46">
        <v>45768</v>
      </c>
      <c r="J49" s="44">
        <v>76</v>
      </c>
      <c r="K49" s="45">
        <v>6.87</v>
      </c>
      <c r="L49" s="44">
        <v>5</v>
      </c>
      <c r="M49" s="44">
        <v>22</v>
      </c>
      <c r="N49" s="44">
        <v>56</v>
      </c>
      <c r="O49" s="46">
        <v>45422</v>
      </c>
      <c r="P49" s="11" t="str">
        <f t="shared" si="0"/>
        <v>OK</v>
      </c>
      <c r="Q49" s="11" t="str">
        <f t="shared" si="1"/>
        <v>OK</v>
      </c>
      <c r="R49" s="11" t="str">
        <f t="shared" si="2"/>
        <v>OK</v>
      </c>
      <c r="S49" s="11" t="str">
        <f t="shared" si="3"/>
        <v>UNIQUE</v>
      </c>
    </row>
    <row r="50" spans="1:19" x14ac:dyDescent="0.3">
      <c r="A50" s="43" t="s">
        <v>128</v>
      </c>
      <c r="B50" s="11" t="s">
        <v>129</v>
      </c>
      <c r="C50" s="11" t="s">
        <v>42</v>
      </c>
      <c r="D50" s="11" t="s">
        <v>73</v>
      </c>
      <c r="E50" s="11" t="s">
        <v>24</v>
      </c>
      <c r="F50" s="44">
        <v>413</v>
      </c>
      <c r="G50" s="45">
        <v>15793.16</v>
      </c>
      <c r="H50" s="45">
        <v>35078.769999999997</v>
      </c>
      <c r="I50" s="46">
        <v>45756</v>
      </c>
      <c r="J50" s="44">
        <v>82</v>
      </c>
      <c r="K50" s="45">
        <v>2.16</v>
      </c>
      <c r="L50" s="44">
        <v>19</v>
      </c>
      <c r="M50" s="44">
        <v>14</v>
      </c>
      <c r="N50" s="44">
        <v>55</v>
      </c>
      <c r="O50" s="46">
        <v>45575</v>
      </c>
      <c r="P50" s="11" t="str">
        <f t="shared" si="0"/>
        <v>OK</v>
      </c>
      <c r="Q50" s="11" t="str">
        <f t="shared" si="1"/>
        <v>OK</v>
      </c>
      <c r="R50" s="11" t="str">
        <f t="shared" si="2"/>
        <v>OK</v>
      </c>
      <c r="S50" s="11" t="str">
        <f t="shared" si="3"/>
        <v>UNIQUE</v>
      </c>
    </row>
    <row r="51" spans="1:19" x14ac:dyDescent="0.3">
      <c r="A51" s="43" t="s">
        <v>130</v>
      </c>
      <c r="B51" s="11" t="s">
        <v>131</v>
      </c>
      <c r="C51" s="11" t="s">
        <v>17</v>
      </c>
      <c r="D51" s="11" t="s">
        <v>23</v>
      </c>
      <c r="E51" s="11" t="s">
        <v>19</v>
      </c>
      <c r="F51" s="44">
        <v>559</v>
      </c>
      <c r="G51" s="45">
        <v>17383.71</v>
      </c>
      <c r="H51" s="45">
        <v>43072.92</v>
      </c>
      <c r="I51" s="46">
        <v>45416</v>
      </c>
      <c r="J51" s="44">
        <v>59</v>
      </c>
      <c r="K51" s="45">
        <v>2.61</v>
      </c>
      <c r="L51" s="44">
        <v>18</v>
      </c>
      <c r="M51" s="44">
        <v>22</v>
      </c>
      <c r="N51" s="44">
        <v>69</v>
      </c>
      <c r="O51" s="46">
        <v>45376</v>
      </c>
      <c r="P51" s="11" t="str">
        <f t="shared" si="0"/>
        <v>OK</v>
      </c>
      <c r="Q51" s="11" t="str">
        <f t="shared" si="1"/>
        <v>OK</v>
      </c>
      <c r="R51" s="11" t="str">
        <f t="shared" si="2"/>
        <v>OK</v>
      </c>
      <c r="S51" s="11" t="str">
        <f t="shared" si="3"/>
        <v>UNIQUE</v>
      </c>
    </row>
    <row r="52" spans="1:19" x14ac:dyDescent="0.3">
      <c r="A52" s="43" t="s">
        <v>132</v>
      </c>
      <c r="B52" s="11" t="s">
        <v>133</v>
      </c>
      <c r="C52" s="11" t="s">
        <v>17</v>
      </c>
      <c r="D52" s="11" t="s">
        <v>39</v>
      </c>
      <c r="E52" s="11" t="s">
        <v>32</v>
      </c>
      <c r="F52" s="44">
        <v>392</v>
      </c>
      <c r="G52" s="45">
        <v>16730.64</v>
      </c>
      <c r="H52" s="45">
        <v>44260.639999999999</v>
      </c>
      <c r="I52" s="46">
        <v>45670</v>
      </c>
      <c r="J52" s="44">
        <v>91</v>
      </c>
      <c r="K52" s="45">
        <v>4.76</v>
      </c>
      <c r="L52" s="44">
        <v>11</v>
      </c>
      <c r="M52" s="44">
        <v>9</v>
      </c>
      <c r="N52" s="44">
        <v>61</v>
      </c>
      <c r="O52" s="46">
        <v>45353</v>
      </c>
      <c r="P52" s="11" t="str">
        <f t="shared" si="0"/>
        <v>OK</v>
      </c>
      <c r="Q52" s="11" t="str">
        <f t="shared" si="1"/>
        <v>OK</v>
      </c>
      <c r="R52" s="11" t="str">
        <f t="shared" si="2"/>
        <v>OK</v>
      </c>
      <c r="S52" s="11" t="str">
        <f t="shared" si="3"/>
        <v>UNIQUE</v>
      </c>
    </row>
    <row r="53" spans="1:19" x14ac:dyDescent="0.3">
      <c r="A53" s="43" t="s">
        <v>134</v>
      </c>
      <c r="B53" s="11" t="s">
        <v>135</v>
      </c>
      <c r="C53" s="11" t="s">
        <v>22</v>
      </c>
      <c r="D53" s="11" t="s">
        <v>23</v>
      </c>
      <c r="E53" s="11" t="s">
        <v>28</v>
      </c>
      <c r="F53" s="44">
        <v>511</v>
      </c>
      <c r="G53" s="45">
        <v>5115.09</v>
      </c>
      <c r="H53" s="45">
        <v>9474.61</v>
      </c>
      <c r="I53" s="46">
        <v>45745</v>
      </c>
      <c r="J53" s="44">
        <v>60</v>
      </c>
      <c r="K53" s="45">
        <v>2.7</v>
      </c>
      <c r="L53" s="44">
        <v>16</v>
      </c>
      <c r="M53" s="44">
        <v>31</v>
      </c>
      <c r="N53" s="44">
        <v>74</v>
      </c>
      <c r="O53" s="46">
        <v>45421</v>
      </c>
      <c r="P53" s="11" t="str">
        <f t="shared" si="0"/>
        <v>OK</v>
      </c>
      <c r="Q53" s="11" t="str">
        <f t="shared" si="1"/>
        <v>OK</v>
      </c>
      <c r="R53" s="11" t="str">
        <f t="shared" si="2"/>
        <v>OK</v>
      </c>
      <c r="S53" s="11" t="str">
        <f t="shared" si="3"/>
        <v>UNIQUE</v>
      </c>
    </row>
    <row r="54" spans="1:19" x14ac:dyDescent="0.3">
      <c r="A54" s="43" t="s">
        <v>136</v>
      </c>
      <c r="B54" s="11" t="s">
        <v>137</v>
      </c>
      <c r="C54" s="11" t="s">
        <v>35</v>
      </c>
      <c r="D54" s="11" t="s">
        <v>27</v>
      </c>
      <c r="E54" s="11" t="s">
        <v>28</v>
      </c>
      <c r="F54" s="44">
        <v>160</v>
      </c>
      <c r="G54" s="45">
        <v>7784.21</v>
      </c>
      <c r="H54" s="45">
        <v>5972.87</v>
      </c>
      <c r="I54" s="46">
        <v>45722</v>
      </c>
      <c r="J54" s="44">
        <v>106</v>
      </c>
      <c r="K54" s="45">
        <v>1.23</v>
      </c>
      <c r="L54" s="44">
        <v>16</v>
      </c>
      <c r="M54" s="44">
        <v>40</v>
      </c>
      <c r="N54" s="44">
        <v>60</v>
      </c>
      <c r="O54" s="46">
        <v>45653</v>
      </c>
      <c r="P54" s="11" t="str">
        <f t="shared" si="0"/>
        <v>OK</v>
      </c>
      <c r="Q54" s="11" t="str">
        <f t="shared" si="1"/>
        <v>OK</v>
      </c>
      <c r="R54" s="11" t="str">
        <f t="shared" si="2"/>
        <v>SELLING AT LOSS - REVIEW PRICING</v>
      </c>
      <c r="S54" s="11" t="str">
        <f t="shared" si="3"/>
        <v>UNIQUE</v>
      </c>
    </row>
    <row r="55" spans="1:19" x14ac:dyDescent="0.3">
      <c r="A55" s="43" t="s">
        <v>138</v>
      </c>
      <c r="B55" s="11" t="s">
        <v>139</v>
      </c>
      <c r="C55" s="11" t="s">
        <v>22</v>
      </c>
      <c r="D55" s="11" t="s">
        <v>36</v>
      </c>
      <c r="E55" s="11" t="s">
        <v>24</v>
      </c>
      <c r="F55" s="44">
        <v>297</v>
      </c>
      <c r="G55" s="45">
        <v>8537.94</v>
      </c>
      <c r="H55" s="45">
        <v>6969.21</v>
      </c>
      <c r="I55" s="46">
        <v>45725</v>
      </c>
      <c r="J55" s="44">
        <v>58</v>
      </c>
      <c r="K55" s="45">
        <v>7.4</v>
      </c>
      <c r="L55" s="44">
        <v>7</v>
      </c>
      <c r="M55" s="44">
        <v>19</v>
      </c>
      <c r="N55" s="44">
        <v>71</v>
      </c>
      <c r="O55" s="46">
        <v>45702</v>
      </c>
      <c r="P55" s="11" t="str">
        <f t="shared" si="0"/>
        <v>OK</v>
      </c>
      <c r="Q55" s="11" t="str">
        <f t="shared" si="1"/>
        <v>OK</v>
      </c>
      <c r="R55" s="11" t="str">
        <f t="shared" si="2"/>
        <v>SELLING AT LOSS - REVIEW PRICING</v>
      </c>
      <c r="S55" s="11" t="str">
        <f t="shared" si="3"/>
        <v>UNIQUE</v>
      </c>
    </row>
    <row r="56" spans="1:19" x14ac:dyDescent="0.3">
      <c r="A56" s="43" t="s">
        <v>54</v>
      </c>
      <c r="B56" s="11" t="s">
        <v>140</v>
      </c>
      <c r="C56" s="11" t="s">
        <v>35</v>
      </c>
      <c r="D56" s="11" t="s">
        <v>39</v>
      </c>
      <c r="E56" s="11" t="s">
        <v>19</v>
      </c>
      <c r="F56" s="44">
        <v>525</v>
      </c>
      <c r="G56" s="45">
        <v>6270.41</v>
      </c>
      <c r="H56" s="45">
        <v>16007.69</v>
      </c>
      <c r="I56" s="46">
        <v>45752</v>
      </c>
      <c r="J56" s="44">
        <v>115</v>
      </c>
      <c r="K56" s="45">
        <v>0.78</v>
      </c>
      <c r="L56" s="44">
        <v>34</v>
      </c>
      <c r="M56" s="44">
        <v>8</v>
      </c>
      <c r="N56" s="44">
        <v>35</v>
      </c>
      <c r="O56" s="46">
        <v>45381</v>
      </c>
      <c r="P56" s="11" t="str">
        <f t="shared" si="0"/>
        <v>OK</v>
      </c>
      <c r="Q56" s="11" t="str">
        <f t="shared" si="1"/>
        <v>OK</v>
      </c>
      <c r="R56" s="11" t="str">
        <f t="shared" si="2"/>
        <v>OK</v>
      </c>
      <c r="S56" s="11" t="str">
        <f t="shared" si="3"/>
        <v>DUPLICATE SKU</v>
      </c>
    </row>
    <row r="57" spans="1:19" x14ac:dyDescent="0.3">
      <c r="A57" s="43" t="s">
        <v>141</v>
      </c>
      <c r="B57" s="11" t="s">
        <v>142</v>
      </c>
      <c r="C57" s="11" t="s">
        <v>31</v>
      </c>
      <c r="D57" s="11" t="s">
        <v>27</v>
      </c>
      <c r="E57" s="11" t="s">
        <v>28</v>
      </c>
      <c r="F57" s="44">
        <v>237</v>
      </c>
      <c r="G57" s="45">
        <v>10465.85</v>
      </c>
      <c r="H57" s="45">
        <v>23268.9</v>
      </c>
      <c r="I57" s="46">
        <v>45711</v>
      </c>
      <c r="J57" s="44">
        <v>44</v>
      </c>
      <c r="K57" s="45">
        <v>2.97</v>
      </c>
      <c r="L57" s="44">
        <v>32</v>
      </c>
      <c r="M57" s="44">
        <v>40</v>
      </c>
      <c r="N57" s="44">
        <v>135</v>
      </c>
      <c r="O57" s="46">
        <v>45746</v>
      </c>
      <c r="P57" s="11" t="str">
        <f t="shared" si="0"/>
        <v>OK</v>
      </c>
      <c r="Q57" s="11" t="str">
        <f t="shared" si="1"/>
        <v>OK</v>
      </c>
      <c r="R57" s="11" t="str">
        <f t="shared" si="2"/>
        <v>OK</v>
      </c>
      <c r="S57" s="11" t="str">
        <f t="shared" si="3"/>
        <v>UNIQUE</v>
      </c>
    </row>
    <row r="58" spans="1:19" x14ac:dyDescent="0.3">
      <c r="A58" s="43" t="s">
        <v>143</v>
      </c>
      <c r="B58" s="11" t="s">
        <v>144</v>
      </c>
      <c r="C58" s="11" t="s">
        <v>42</v>
      </c>
      <c r="D58" s="11" t="s">
        <v>36</v>
      </c>
      <c r="E58" s="11" t="s">
        <v>32</v>
      </c>
      <c r="F58" s="44">
        <v>390</v>
      </c>
      <c r="G58" s="45">
        <v>12464.14</v>
      </c>
      <c r="H58" s="45">
        <v>22314.639999999999</v>
      </c>
      <c r="I58" s="46">
        <v>45780</v>
      </c>
      <c r="J58" s="44">
        <v>66</v>
      </c>
      <c r="K58" s="45">
        <v>2.02</v>
      </c>
      <c r="L58" s="44">
        <v>19</v>
      </c>
      <c r="M58" s="44">
        <v>12</v>
      </c>
      <c r="N58" s="44">
        <v>50</v>
      </c>
      <c r="O58" s="46">
        <v>45724</v>
      </c>
      <c r="P58" s="11" t="str">
        <f t="shared" si="0"/>
        <v>OK</v>
      </c>
      <c r="Q58" s="11" t="str">
        <f t="shared" si="1"/>
        <v>OK</v>
      </c>
      <c r="R58" s="11" t="str">
        <f t="shared" si="2"/>
        <v>OK</v>
      </c>
      <c r="S58" s="11" t="str">
        <f t="shared" si="3"/>
        <v>UNIQUE</v>
      </c>
    </row>
    <row r="59" spans="1:19" x14ac:dyDescent="0.3">
      <c r="A59" s="43" t="s">
        <v>145</v>
      </c>
      <c r="B59" s="11" t="s">
        <v>146</v>
      </c>
      <c r="C59" s="11" t="s">
        <v>35</v>
      </c>
      <c r="D59" s="11" t="s">
        <v>27</v>
      </c>
      <c r="E59" s="11" t="s">
        <v>19</v>
      </c>
      <c r="F59" s="44">
        <v>424</v>
      </c>
      <c r="G59" s="45">
        <v>1984.87</v>
      </c>
      <c r="H59" s="45">
        <v>5171.2700000000004</v>
      </c>
      <c r="I59" s="46">
        <v>45753</v>
      </c>
      <c r="J59" s="44">
        <v>95</v>
      </c>
      <c r="K59" s="45">
        <v>6.92</v>
      </c>
      <c r="L59" s="44">
        <v>9</v>
      </c>
      <c r="M59" s="44">
        <v>20</v>
      </c>
      <c r="N59" s="44">
        <v>82</v>
      </c>
      <c r="O59" s="46">
        <v>45383</v>
      </c>
      <c r="P59" s="11" t="str">
        <f t="shared" si="0"/>
        <v>OK</v>
      </c>
      <c r="Q59" s="11" t="str">
        <f t="shared" si="1"/>
        <v>OK</v>
      </c>
      <c r="R59" s="11" t="str">
        <f t="shared" si="2"/>
        <v>OK</v>
      </c>
      <c r="S59" s="11" t="str">
        <f t="shared" si="3"/>
        <v>UNIQUE</v>
      </c>
    </row>
    <row r="60" spans="1:19" x14ac:dyDescent="0.3">
      <c r="A60" s="43" t="s">
        <v>147</v>
      </c>
      <c r="B60" s="11" t="s">
        <v>148</v>
      </c>
      <c r="C60" s="11" t="s">
        <v>22</v>
      </c>
      <c r="D60" s="11" t="s">
        <v>23</v>
      </c>
      <c r="E60" s="11" t="s">
        <v>28</v>
      </c>
      <c r="F60" s="44">
        <v>192</v>
      </c>
      <c r="G60" s="45">
        <v>4508.92</v>
      </c>
      <c r="H60" s="45">
        <v>10214.620000000001</v>
      </c>
      <c r="I60" s="46">
        <v>45710</v>
      </c>
      <c r="J60" s="44">
        <v>10</v>
      </c>
      <c r="K60" s="45">
        <v>4.9800000000000004</v>
      </c>
      <c r="L60" s="44">
        <v>24</v>
      </c>
      <c r="M60" s="44">
        <v>29</v>
      </c>
      <c r="N60" s="44">
        <v>149</v>
      </c>
      <c r="O60" s="46">
        <v>45525</v>
      </c>
      <c r="P60" s="11" t="str">
        <f t="shared" si="0"/>
        <v>OK</v>
      </c>
      <c r="Q60" s="11" t="str">
        <f t="shared" si="1"/>
        <v>OK</v>
      </c>
      <c r="R60" s="11" t="str">
        <f t="shared" si="2"/>
        <v>OK</v>
      </c>
      <c r="S60" s="11" t="str">
        <f t="shared" si="3"/>
        <v>UNIQUE</v>
      </c>
    </row>
    <row r="61" spans="1:19" x14ac:dyDescent="0.3">
      <c r="A61" s="43" t="s">
        <v>149</v>
      </c>
      <c r="B61" s="11" t="s">
        <v>150</v>
      </c>
      <c r="C61" s="11" t="s">
        <v>22</v>
      </c>
      <c r="D61" s="11" t="s">
        <v>23</v>
      </c>
      <c r="E61" s="11" t="s">
        <v>19</v>
      </c>
      <c r="F61" s="44">
        <v>147</v>
      </c>
      <c r="G61" s="45">
        <v>6997.01</v>
      </c>
      <c r="H61" s="45">
        <v>13811.01</v>
      </c>
      <c r="I61" s="46">
        <v>45740</v>
      </c>
      <c r="J61" s="44">
        <v>35</v>
      </c>
      <c r="K61" s="45">
        <v>2.75</v>
      </c>
      <c r="L61" s="44">
        <v>29</v>
      </c>
      <c r="M61" s="44">
        <v>31</v>
      </c>
      <c r="N61" s="44">
        <v>111</v>
      </c>
      <c r="O61" s="46">
        <v>45532</v>
      </c>
      <c r="P61" s="11" t="str">
        <f t="shared" si="0"/>
        <v>OK</v>
      </c>
      <c r="Q61" s="11" t="str">
        <f t="shared" si="1"/>
        <v>OK</v>
      </c>
      <c r="R61" s="11" t="str">
        <f t="shared" si="2"/>
        <v>OK</v>
      </c>
      <c r="S61" s="11" t="str">
        <f t="shared" si="3"/>
        <v>UNIQUE</v>
      </c>
    </row>
    <row r="62" spans="1:19" x14ac:dyDescent="0.3">
      <c r="A62" s="43" t="s">
        <v>151</v>
      </c>
      <c r="B62" s="11" t="s">
        <v>152</v>
      </c>
      <c r="C62" s="11" t="s">
        <v>22</v>
      </c>
      <c r="D62" s="11" t="s">
        <v>45</v>
      </c>
      <c r="E62" s="11" t="s">
        <v>24</v>
      </c>
      <c r="F62" s="44">
        <v>34</v>
      </c>
      <c r="G62" s="45">
        <v>16026.2</v>
      </c>
      <c r="H62" s="45">
        <v>34203.74</v>
      </c>
      <c r="I62" s="46">
        <v>45663</v>
      </c>
      <c r="J62" s="44">
        <v>86</v>
      </c>
      <c r="K62" s="45">
        <v>8</v>
      </c>
      <c r="L62" s="44">
        <v>31</v>
      </c>
      <c r="M62" s="44">
        <v>6</v>
      </c>
      <c r="N62" s="44">
        <v>254</v>
      </c>
      <c r="O62" s="46">
        <v>45495</v>
      </c>
      <c r="P62" s="11" t="str">
        <f t="shared" si="0"/>
        <v>OK</v>
      </c>
      <c r="Q62" s="11" t="str">
        <f t="shared" si="1"/>
        <v>OK</v>
      </c>
      <c r="R62" s="11" t="str">
        <f t="shared" si="2"/>
        <v>OK</v>
      </c>
      <c r="S62" s="11" t="str">
        <f t="shared" si="3"/>
        <v>UNIQUE</v>
      </c>
    </row>
    <row r="63" spans="1:19" x14ac:dyDescent="0.3">
      <c r="A63" s="43" t="s">
        <v>153</v>
      </c>
      <c r="B63" s="11" t="s">
        <v>154</v>
      </c>
      <c r="C63" s="11" t="s">
        <v>35</v>
      </c>
      <c r="D63" s="11" t="s">
        <v>36</v>
      </c>
      <c r="E63" s="11" t="s">
        <v>19</v>
      </c>
      <c r="F63" s="44">
        <v>181</v>
      </c>
      <c r="G63" s="45">
        <v>9274.4599999999991</v>
      </c>
      <c r="H63" s="45">
        <v>25342.63</v>
      </c>
      <c r="I63" s="46">
        <v>45738</v>
      </c>
      <c r="J63" s="44">
        <v>36</v>
      </c>
      <c r="K63" s="45">
        <v>0.79</v>
      </c>
      <c r="L63" s="44">
        <v>21</v>
      </c>
      <c r="M63" s="44">
        <v>26</v>
      </c>
      <c r="N63" s="44">
        <v>43</v>
      </c>
      <c r="O63" s="46">
        <v>45748</v>
      </c>
      <c r="P63" s="11" t="str">
        <f t="shared" si="0"/>
        <v>OK</v>
      </c>
      <c r="Q63" s="11" t="str">
        <f t="shared" si="1"/>
        <v>OK</v>
      </c>
      <c r="R63" s="11" t="str">
        <f t="shared" si="2"/>
        <v>OK</v>
      </c>
      <c r="S63" s="11" t="str">
        <f t="shared" si="3"/>
        <v>UNIQUE</v>
      </c>
    </row>
    <row r="64" spans="1:19" x14ac:dyDescent="0.3">
      <c r="A64" s="43" t="s">
        <v>155</v>
      </c>
      <c r="B64" s="11" t="s">
        <v>156</v>
      </c>
      <c r="C64" s="11" t="s">
        <v>42</v>
      </c>
      <c r="D64" s="11" t="s">
        <v>23</v>
      </c>
      <c r="E64" s="11" t="s">
        <v>19</v>
      </c>
      <c r="F64" s="44">
        <v>80</v>
      </c>
      <c r="G64" s="45">
        <v>4236.6099999999997</v>
      </c>
      <c r="H64" s="45">
        <v>10863.46</v>
      </c>
      <c r="I64" s="46">
        <v>45773</v>
      </c>
      <c r="J64" s="44">
        <v>35</v>
      </c>
      <c r="K64" s="45">
        <v>1.75</v>
      </c>
      <c r="L64" s="44">
        <v>26</v>
      </c>
      <c r="M64" s="44">
        <v>36</v>
      </c>
      <c r="N64" s="44">
        <v>82</v>
      </c>
      <c r="O64" s="46">
        <v>45359</v>
      </c>
      <c r="P64" s="11" t="str">
        <f t="shared" si="0"/>
        <v>OK</v>
      </c>
      <c r="Q64" s="11" t="str">
        <f t="shared" si="1"/>
        <v>OK</v>
      </c>
      <c r="R64" s="11" t="str">
        <f t="shared" si="2"/>
        <v>OK</v>
      </c>
      <c r="S64" s="11" t="str">
        <f t="shared" si="3"/>
        <v>UNIQUE</v>
      </c>
    </row>
    <row r="65" spans="1:19" x14ac:dyDescent="0.3">
      <c r="A65" s="43" t="s">
        <v>157</v>
      </c>
      <c r="B65" s="11" t="s">
        <v>158</v>
      </c>
      <c r="C65" s="11" t="s">
        <v>42</v>
      </c>
      <c r="D65" s="11" t="s">
        <v>18</v>
      </c>
      <c r="E65" s="11" t="s">
        <v>19</v>
      </c>
      <c r="F65" s="44">
        <v>111</v>
      </c>
      <c r="G65" s="45">
        <v>5315.58</v>
      </c>
      <c r="H65" s="45">
        <v>8032.31</v>
      </c>
      <c r="I65" s="46">
        <v>45750</v>
      </c>
      <c r="J65" s="44">
        <v>58</v>
      </c>
      <c r="K65" s="45">
        <v>1.34</v>
      </c>
      <c r="L65" s="44">
        <v>25</v>
      </c>
      <c r="M65" s="44">
        <v>28</v>
      </c>
      <c r="N65" s="44">
        <v>62</v>
      </c>
      <c r="O65" s="46">
        <v>45487</v>
      </c>
      <c r="P65" s="11" t="str">
        <f t="shared" si="0"/>
        <v>OK</v>
      </c>
      <c r="Q65" s="11" t="str">
        <f t="shared" si="1"/>
        <v>OK</v>
      </c>
      <c r="R65" s="11" t="str">
        <f t="shared" si="2"/>
        <v>OK</v>
      </c>
      <c r="S65" s="11" t="str">
        <f t="shared" si="3"/>
        <v>UNIQUE</v>
      </c>
    </row>
    <row r="66" spans="1:19" x14ac:dyDescent="0.3">
      <c r="A66" s="43" t="s">
        <v>159</v>
      </c>
      <c r="B66" s="11" t="s">
        <v>160</v>
      </c>
      <c r="C66" s="11" t="s">
        <v>31</v>
      </c>
      <c r="D66" s="11" t="s">
        <v>27</v>
      </c>
      <c r="E66" s="11" t="s">
        <v>28</v>
      </c>
      <c r="F66" s="44">
        <v>583</v>
      </c>
      <c r="G66" s="45">
        <v>14640.08</v>
      </c>
      <c r="H66" s="45">
        <v>30821.19</v>
      </c>
      <c r="I66" s="46">
        <v>45493</v>
      </c>
      <c r="J66" s="44">
        <v>85</v>
      </c>
      <c r="K66" s="45">
        <v>2.86</v>
      </c>
      <c r="L66" s="44">
        <v>8</v>
      </c>
      <c r="M66" s="44">
        <v>31</v>
      </c>
      <c r="N66" s="44">
        <v>54</v>
      </c>
      <c r="O66" s="46">
        <v>45453</v>
      </c>
      <c r="P66" s="11" t="str">
        <f t="shared" si="0"/>
        <v>OK</v>
      </c>
      <c r="Q66" s="11" t="str">
        <f t="shared" si="1"/>
        <v>OK</v>
      </c>
      <c r="R66" s="11" t="str">
        <f t="shared" si="2"/>
        <v>OK</v>
      </c>
      <c r="S66" s="11" t="str">
        <f t="shared" si="3"/>
        <v>UNIQUE</v>
      </c>
    </row>
    <row r="67" spans="1:19" x14ac:dyDescent="0.3">
      <c r="A67" s="43" t="s">
        <v>161</v>
      </c>
      <c r="B67" s="11" t="s">
        <v>162</v>
      </c>
      <c r="C67" s="11" t="s">
        <v>42</v>
      </c>
      <c r="D67" s="11" t="s">
        <v>60</v>
      </c>
      <c r="E67" s="11" t="s">
        <v>28</v>
      </c>
      <c r="F67" s="44">
        <v>173</v>
      </c>
      <c r="G67" s="45">
        <v>11555.25</v>
      </c>
      <c r="H67" s="45">
        <v>15908.92</v>
      </c>
      <c r="I67" s="46">
        <v>45748</v>
      </c>
      <c r="J67" s="44">
        <v>99</v>
      </c>
      <c r="K67" s="45">
        <v>7.35</v>
      </c>
      <c r="L67" s="44">
        <v>34</v>
      </c>
      <c r="M67" s="44">
        <v>38</v>
      </c>
      <c r="N67" s="44">
        <v>288</v>
      </c>
      <c r="O67" s="46">
        <v>45638</v>
      </c>
      <c r="P67" s="11" t="str">
        <f t="shared" ref="P67:P76" si="4">IF(I67=DATE(2020,1,1),"NO SALE RECORDED","OK")</f>
        <v>OK</v>
      </c>
      <c r="Q67" s="11" t="str">
        <f t="shared" ref="Q67:Q76" si="5">IF(F67&lt;0,"NEGATIVE QTY - DATA ERROR","OK")</f>
        <v>OK</v>
      </c>
      <c r="R67" s="11" t="str">
        <f t="shared" ref="R67:R76" si="6">IF(G67&gt;H67,"SELLING AT LOSS - REVIEW PRICING","OK")</f>
        <v>OK</v>
      </c>
      <c r="S67" s="11" t="str">
        <f t="shared" ref="S67:S76" si="7">IF(COUNTIF($A$2:$A$76,A67)&gt;1,"DUPLICATE SKU","UNIQUE")</f>
        <v>UNIQUE</v>
      </c>
    </row>
    <row r="68" spans="1:19" x14ac:dyDescent="0.3">
      <c r="A68" s="43" t="s">
        <v>163</v>
      </c>
      <c r="B68" s="11" t="s">
        <v>164</v>
      </c>
      <c r="C68" s="11" t="s">
        <v>22</v>
      </c>
      <c r="D68" s="11" t="s">
        <v>36</v>
      </c>
      <c r="E68" s="11" t="s">
        <v>19</v>
      </c>
      <c r="F68" s="44">
        <v>60</v>
      </c>
      <c r="G68" s="45">
        <v>11264.01</v>
      </c>
      <c r="H68" s="45">
        <v>20980.67</v>
      </c>
      <c r="I68" s="46">
        <v>45498</v>
      </c>
      <c r="J68" s="44">
        <v>70</v>
      </c>
      <c r="K68" s="45">
        <v>3.53</v>
      </c>
      <c r="L68" s="44">
        <v>9</v>
      </c>
      <c r="M68" s="44">
        <v>23</v>
      </c>
      <c r="N68" s="44">
        <v>55</v>
      </c>
      <c r="O68" s="46">
        <v>45601</v>
      </c>
      <c r="P68" s="11" t="str">
        <f t="shared" si="4"/>
        <v>OK</v>
      </c>
      <c r="Q68" s="11" t="str">
        <f t="shared" si="5"/>
        <v>OK</v>
      </c>
      <c r="R68" s="11" t="str">
        <f t="shared" si="6"/>
        <v>OK</v>
      </c>
      <c r="S68" s="11" t="str">
        <f t="shared" si="7"/>
        <v>UNIQUE</v>
      </c>
    </row>
    <row r="69" spans="1:19" x14ac:dyDescent="0.3">
      <c r="A69" s="43" t="s">
        <v>165</v>
      </c>
      <c r="B69" s="11" t="s">
        <v>166</v>
      </c>
      <c r="C69" s="11" t="s">
        <v>31</v>
      </c>
      <c r="D69" s="11" t="s">
        <v>18</v>
      </c>
      <c r="E69" s="11" t="s">
        <v>32</v>
      </c>
      <c r="F69" s="44">
        <v>105</v>
      </c>
      <c r="G69" s="45">
        <v>7536.57</v>
      </c>
      <c r="H69" s="45">
        <v>13489.46</v>
      </c>
      <c r="I69" s="46">
        <v>45737</v>
      </c>
      <c r="J69" s="44">
        <v>40</v>
      </c>
      <c r="K69" s="45">
        <v>3.03</v>
      </c>
      <c r="L69" s="44">
        <v>26</v>
      </c>
      <c r="M69" s="44">
        <v>21</v>
      </c>
      <c r="N69" s="44">
        <v>100</v>
      </c>
      <c r="O69" s="46">
        <v>45539</v>
      </c>
      <c r="P69" s="11" t="str">
        <f t="shared" si="4"/>
        <v>OK</v>
      </c>
      <c r="Q69" s="11" t="str">
        <f t="shared" si="5"/>
        <v>OK</v>
      </c>
      <c r="R69" s="11" t="str">
        <f t="shared" si="6"/>
        <v>OK</v>
      </c>
      <c r="S69" s="11" t="str">
        <f t="shared" si="7"/>
        <v>UNIQUE</v>
      </c>
    </row>
    <row r="70" spans="1:19" x14ac:dyDescent="0.3">
      <c r="A70" s="43" t="s">
        <v>167</v>
      </c>
      <c r="B70" s="11" t="s">
        <v>168</v>
      </c>
      <c r="C70" s="11" t="s">
        <v>35</v>
      </c>
      <c r="D70" s="11" t="s">
        <v>45</v>
      </c>
      <c r="E70" s="11" t="s">
        <v>28</v>
      </c>
      <c r="F70" s="44">
        <v>-18</v>
      </c>
      <c r="G70" s="45">
        <v>15032.35</v>
      </c>
      <c r="H70" s="45">
        <v>32283.759999999998</v>
      </c>
      <c r="I70" s="46">
        <v>45700</v>
      </c>
      <c r="J70" s="44">
        <v>38</v>
      </c>
      <c r="K70" s="45">
        <v>7.51</v>
      </c>
      <c r="L70" s="44">
        <v>34</v>
      </c>
      <c r="M70" s="44">
        <v>11</v>
      </c>
      <c r="N70" s="44">
        <v>266</v>
      </c>
      <c r="O70" s="46">
        <v>45616</v>
      </c>
      <c r="P70" s="11" t="str">
        <f t="shared" si="4"/>
        <v>OK</v>
      </c>
      <c r="Q70" s="11" t="str">
        <f t="shared" si="5"/>
        <v>NEGATIVE QTY - DATA ERROR</v>
      </c>
      <c r="R70" s="11" t="str">
        <f t="shared" si="6"/>
        <v>OK</v>
      </c>
      <c r="S70" s="11" t="str">
        <f t="shared" si="7"/>
        <v>UNIQUE</v>
      </c>
    </row>
    <row r="71" spans="1:19" x14ac:dyDescent="0.3">
      <c r="A71" s="43" t="s">
        <v>98</v>
      </c>
      <c r="B71" s="11" t="s">
        <v>169</v>
      </c>
      <c r="C71" s="11" t="s">
        <v>42</v>
      </c>
      <c r="D71" s="11" t="s">
        <v>36</v>
      </c>
      <c r="E71" s="11" t="s">
        <v>32</v>
      </c>
      <c r="F71" s="44">
        <v>112</v>
      </c>
      <c r="G71" s="45">
        <v>13386.68</v>
      </c>
      <c r="H71" s="45">
        <v>18131.240000000002</v>
      </c>
      <c r="I71" s="46">
        <v>43831</v>
      </c>
      <c r="J71" s="44">
        <v>114</v>
      </c>
      <c r="K71" s="45">
        <v>4.74</v>
      </c>
      <c r="L71" s="44">
        <v>22</v>
      </c>
      <c r="M71" s="44">
        <v>10</v>
      </c>
      <c r="N71" s="44">
        <v>114</v>
      </c>
      <c r="O71" s="46">
        <v>45473</v>
      </c>
      <c r="P71" s="11" t="str">
        <f t="shared" si="4"/>
        <v>NO SALE RECORDED</v>
      </c>
      <c r="Q71" s="11" t="str">
        <f t="shared" si="5"/>
        <v>OK</v>
      </c>
      <c r="R71" s="11" t="str">
        <f t="shared" si="6"/>
        <v>OK</v>
      </c>
      <c r="S71" s="11" t="str">
        <f t="shared" si="7"/>
        <v>DUPLICATE SKU</v>
      </c>
    </row>
    <row r="72" spans="1:19" x14ac:dyDescent="0.3">
      <c r="A72" s="43" t="s">
        <v>170</v>
      </c>
      <c r="B72" s="11" t="s">
        <v>171</v>
      </c>
      <c r="C72" s="11" t="s">
        <v>17</v>
      </c>
      <c r="D72" s="11" t="s">
        <v>23</v>
      </c>
      <c r="E72" s="11" t="s">
        <v>24</v>
      </c>
      <c r="F72" s="44">
        <v>95</v>
      </c>
      <c r="G72" s="45">
        <v>2858.33</v>
      </c>
      <c r="H72" s="45">
        <v>7759.03</v>
      </c>
      <c r="I72" s="46">
        <v>45773</v>
      </c>
      <c r="J72" s="44">
        <v>15</v>
      </c>
      <c r="K72" s="45">
        <v>4.87</v>
      </c>
      <c r="L72" s="44">
        <v>22</v>
      </c>
      <c r="M72" s="44">
        <v>31</v>
      </c>
      <c r="N72" s="44">
        <v>138</v>
      </c>
      <c r="O72" s="46">
        <v>45608</v>
      </c>
      <c r="P72" s="11" t="str">
        <f t="shared" si="4"/>
        <v>OK</v>
      </c>
      <c r="Q72" s="11" t="str">
        <f t="shared" si="5"/>
        <v>OK</v>
      </c>
      <c r="R72" s="11" t="str">
        <f t="shared" si="6"/>
        <v>OK</v>
      </c>
      <c r="S72" s="11" t="str">
        <f t="shared" si="7"/>
        <v>UNIQUE</v>
      </c>
    </row>
    <row r="73" spans="1:19" x14ac:dyDescent="0.3">
      <c r="A73" s="43" t="s">
        <v>172</v>
      </c>
      <c r="B73" s="11" t="s">
        <v>173</v>
      </c>
      <c r="C73" s="11" t="s">
        <v>17</v>
      </c>
      <c r="D73" s="11" t="s">
        <v>23</v>
      </c>
      <c r="E73" s="11" t="s">
        <v>32</v>
      </c>
      <c r="F73" s="44">
        <v>498</v>
      </c>
      <c r="G73" s="45">
        <v>1981.19</v>
      </c>
      <c r="H73" s="45">
        <v>1615.46</v>
      </c>
      <c r="I73" s="46">
        <v>45759</v>
      </c>
      <c r="J73" s="44">
        <v>23</v>
      </c>
      <c r="K73" s="45">
        <v>2.06</v>
      </c>
      <c r="L73" s="44">
        <v>35</v>
      </c>
      <c r="M73" s="44">
        <v>8</v>
      </c>
      <c r="N73" s="44">
        <v>80</v>
      </c>
      <c r="O73" s="46">
        <v>45465</v>
      </c>
      <c r="P73" s="11" t="str">
        <f t="shared" si="4"/>
        <v>OK</v>
      </c>
      <c r="Q73" s="11" t="str">
        <f t="shared" si="5"/>
        <v>OK</v>
      </c>
      <c r="R73" s="11" t="str">
        <f t="shared" si="6"/>
        <v>SELLING AT LOSS - REVIEW PRICING</v>
      </c>
      <c r="S73" s="11" t="str">
        <f t="shared" si="7"/>
        <v>UNIQUE</v>
      </c>
    </row>
    <row r="74" spans="1:19" x14ac:dyDescent="0.3">
      <c r="A74" s="43" t="s">
        <v>174</v>
      </c>
      <c r="B74" s="11" t="s">
        <v>175</v>
      </c>
      <c r="C74" s="11" t="s">
        <v>17</v>
      </c>
      <c r="D74" s="11" t="s">
        <v>27</v>
      </c>
      <c r="E74" s="11" t="s">
        <v>19</v>
      </c>
      <c r="F74" s="44">
        <v>340</v>
      </c>
      <c r="G74" s="45">
        <v>12077.16</v>
      </c>
      <c r="H74" s="45">
        <v>23555.71</v>
      </c>
      <c r="I74" s="46">
        <v>45725</v>
      </c>
      <c r="J74" s="44">
        <v>27</v>
      </c>
      <c r="K74" s="45">
        <v>2.76</v>
      </c>
      <c r="L74" s="44">
        <v>16</v>
      </c>
      <c r="M74" s="44">
        <v>21</v>
      </c>
      <c r="N74" s="44">
        <v>65</v>
      </c>
      <c r="O74" s="46">
        <v>45717</v>
      </c>
      <c r="P74" s="11" t="str">
        <f t="shared" si="4"/>
        <v>OK</v>
      </c>
      <c r="Q74" s="11" t="str">
        <f t="shared" si="5"/>
        <v>OK</v>
      </c>
      <c r="R74" s="11" t="str">
        <f t="shared" si="6"/>
        <v>OK</v>
      </c>
      <c r="S74" s="11" t="str">
        <f t="shared" si="7"/>
        <v>UNIQUE</v>
      </c>
    </row>
    <row r="75" spans="1:19" x14ac:dyDescent="0.3">
      <c r="A75" s="43" t="s">
        <v>176</v>
      </c>
      <c r="B75" s="11" t="s">
        <v>177</v>
      </c>
      <c r="C75" s="11" t="s">
        <v>17</v>
      </c>
      <c r="D75" s="11" t="s">
        <v>27</v>
      </c>
      <c r="E75" s="11" t="s">
        <v>32</v>
      </c>
      <c r="F75" s="44">
        <v>266</v>
      </c>
      <c r="G75" s="45">
        <v>6917.4</v>
      </c>
      <c r="H75" s="45">
        <v>17415.47</v>
      </c>
      <c r="I75" s="46">
        <v>45686</v>
      </c>
      <c r="J75" s="44">
        <v>60</v>
      </c>
      <c r="K75" s="45">
        <v>0.46</v>
      </c>
      <c r="L75" s="44">
        <v>5</v>
      </c>
      <c r="M75" s="44">
        <v>39</v>
      </c>
      <c r="N75" s="44">
        <v>41</v>
      </c>
      <c r="O75" s="46">
        <v>45634</v>
      </c>
      <c r="P75" s="11" t="str">
        <f t="shared" si="4"/>
        <v>OK</v>
      </c>
      <c r="Q75" s="11" t="str">
        <f t="shared" si="5"/>
        <v>OK</v>
      </c>
      <c r="R75" s="11" t="str">
        <f t="shared" si="6"/>
        <v>OK</v>
      </c>
      <c r="S75" s="11" t="str">
        <f t="shared" si="7"/>
        <v>UNIQUE</v>
      </c>
    </row>
    <row r="76" spans="1:19" x14ac:dyDescent="0.3">
      <c r="A76" s="43" t="s">
        <v>178</v>
      </c>
      <c r="B76" s="11" t="s">
        <v>179</v>
      </c>
      <c r="C76" s="11" t="s">
        <v>35</v>
      </c>
      <c r="D76" s="11" t="s">
        <v>60</v>
      </c>
      <c r="E76" s="11" t="s">
        <v>32</v>
      </c>
      <c r="F76" s="44">
        <v>416</v>
      </c>
      <c r="G76" s="45">
        <v>15703.12</v>
      </c>
      <c r="H76" s="45">
        <v>34999.99</v>
      </c>
      <c r="I76" s="46">
        <v>45689</v>
      </c>
      <c r="J76" s="44">
        <v>110</v>
      </c>
      <c r="K76" s="45">
        <v>2.84</v>
      </c>
      <c r="L76" s="44">
        <v>7</v>
      </c>
      <c r="M76" s="44">
        <v>22</v>
      </c>
      <c r="N76" s="44">
        <v>42</v>
      </c>
      <c r="O76" s="46">
        <v>45701</v>
      </c>
      <c r="P76" s="11" t="str">
        <f t="shared" si="4"/>
        <v>OK</v>
      </c>
      <c r="Q76" s="11" t="str">
        <f t="shared" si="5"/>
        <v>OK</v>
      </c>
      <c r="R76" s="11" t="str">
        <f t="shared" si="6"/>
        <v>OK</v>
      </c>
      <c r="S76" s="11" t="str">
        <f t="shared" si="7"/>
        <v>UNIQUE</v>
      </c>
    </row>
    <row r="78" spans="1:19" x14ac:dyDescent="0.3">
      <c r="D78" s="47"/>
    </row>
    <row r="79" spans="1:19" x14ac:dyDescent="0.3">
      <c r="D79" s="47"/>
    </row>
    <row r="80" spans="1:19" x14ac:dyDescent="0.3">
      <c r="D80" s="47"/>
    </row>
    <row r="81" spans="4:4" x14ac:dyDescent="0.3">
      <c r="D81" s="47"/>
    </row>
    <row r="82" spans="4:4" x14ac:dyDescent="0.3">
      <c r="D82" s="47"/>
    </row>
    <row r="83" spans="4:4" x14ac:dyDescent="0.3">
      <c r="D83" s="47"/>
    </row>
    <row r="84" spans="4:4" x14ac:dyDescent="0.3">
      <c r="D84" s="47"/>
    </row>
    <row r="85" spans="4:4" x14ac:dyDescent="0.3">
      <c r="D85" s="47"/>
    </row>
    <row r="86" spans="4:4" x14ac:dyDescent="0.3">
      <c r="D86" s="47"/>
    </row>
    <row r="87" spans="4:4" x14ac:dyDescent="0.3">
      <c r="D87" s="47"/>
    </row>
    <row r="88" spans="4:4" x14ac:dyDescent="0.3">
      <c r="D88" s="47"/>
    </row>
    <row r="89" spans="4:4" x14ac:dyDescent="0.3">
      <c r="D89" s="47"/>
    </row>
    <row r="90" spans="4:4" x14ac:dyDescent="0.3">
      <c r="D90" s="47"/>
    </row>
    <row r="91" spans="4:4" x14ac:dyDescent="0.3">
      <c r="D91" s="47"/>
    </row>
    <row r="92" spans="4:4" x14ac:dyDescent="0.3">
      <c r="D92" s="47"/>
    </row>
    <row r="93" spans="4:4" x14ac:dyDescent="0.3">
      <c r="D93" s="47"/>
    </row>
    <row r="94" spans="4:4" x14ac:dyDescent="0.3">
      <c r="D94" s="47"/>
    </row>
    <row r="95" spans="4:4" x14ac:dyDescent="0.3">
      <c r="D95" s="47"/>
    </row>
    <row r="96" spans="4:4" x14ac:dyDescent="0.3">
      <c r="D96" s="47"/>
    </row>
    <row r="97" spans="4:4" x14ac:dyDescent="0.3">
      <c r="D97" s="47"/>
    </row>
    <row r="98" spans="4:4" x14ac:dyDescent="0.3">
      <c r="D98" s="47"/>
    </row>
    <row r="99" spans="4:4" x14ac:dyDescent="0.3">
      <c r="D99" s="47"/>
    </row>
    <row r="100" spans="4:4" x14ac:dyDescent="0.3">
      <c r="D100" s="47"/>
    </row>
    <row r="101" spans="4:4" x14ac:dyDescent="0.3">
      <c r="D101" s="47"/>
    </row>
    <row r="102" spans="4:4" x14ac:dyDescent="0.3">
      <c r="D102" s="47"/>
    </row>
    <row r="103" spans="4:4" x14ac:dyDescent="0.3">
      <c r="D103" s="47"/>
    </row>
    <row r="104" spans="4:4" x14ac:dyDescent="0.3">
      <c r="D104" s="47"/>
    </row>
    <row r="105" spans="4:4" x14ac:dyDescent="0.3">
      <c r="D105" s="47"/>
    </row>
    <row r="106" spans="4:4" x14ac:dyDescent="0.3">
      <c r="D106" s="47"/>
    </row>
    <row r="107" spans="4:4" x14ac:dyDescent="0.3">
      <c r="D107" s="47"/>
    </row>
    <row r="108" spans="4:4" x14ac:dyDescent="0.3">
      <c r="D108" s="47"/>
    </row>
    <row r="109" spans="4:4" x14ac:dyDescent="0.3">
      <c r="D109" s="47"/>
    </row>
    <row r="110" spans="4:4" x14ac:dyDescent="0.3">
      <c r="D110" s="47"/>
    </row>
    <row r="111" spans="4:4" x14ac:dyDescent="0.3">
      <c r="D111" s="47"/>
    </row>
    <row r="112" spans="4:4" x14ac:dyDescent="0.3">
      <c r="D112" s="47"/>
    </row>
    <row r="113" spans="4:4" x14ac:dyDescent="0.3">
      <c r="D113" s="47"/>
    </row>
    <row r="114" spans="4:4" x14ac:dyDescent="0.3">
      <c r="D114" s="47"/>
    </row>
    <row r="115" spans="4:4" x14ac:dyDescent="0.3">
      <c r="D115" s="47"/>
    </row>
    <row r="116" spans="4:4" x14ac:dyDescent="0.3">
      <c r="D116" s="47"/>
    </row>
    <row r="117" spans="4:4" x14ac:dyDescent="0.3">
      <c r="D117" s="47"/>
    </row>
    <row r="118" spans="4:4" x14ac:dyDescent="0.3">
      <c r="D118" s="47"/>
    </row>
    <row r="119" spans="4:4" x14ac:dyDescent="0.3">
      <c r="D119" s="47"/>
    </row>
    <row r="120" spans="4:4" x14ac:dyDescent="0.3">
      <c r="D120" s="47"/>
    </row>
    <row r="121" spans="4:4" x14ac:dyDescent="0.3">
      <c r="D121" s="47"/>
    </row>
    <row r="122" spans="4:4" x14ac:dyDescent="0.3">
      <c r="D122" s="47"/>
    </row>
    <row r="123" spans="4:4" x14ac:dyDescent="0.3">
      <c r="D123" s="47"/>
    </row>
    <row r="124" spans="4:4" x14ac:dyDescent="0.3">
      <c r="D124" s="47"/>
    </row>
    <row r="125" spans="4:4" x14ac:dyDescent="0.3">
      <c r="D125" s="47"/>
    </row>
    <row r="126" spans="4:4" x14ac:dyDescent="0.3">
      <c r="D126" s="47"/>
    </row>
    <row r="127" spans="4:4" x14ac:dyDescent="0.3">
      <c r="D127" s="47"/>
    </row>
    <row r="128" spans="4:4" x14ac:dyDescent="0.3">
      <c r="D128" s="47"/>
    </row>
    <row r="129" spans="4:4" x14ac:dyDescent="0.3">
      <c r="D129" s="47"/>
    </row>
    <row r="130" spans="4:4" x14ac:dyDescent="0.3">
      <c r="D130" s="47"/>
    </row>
    <row r="131" spans="4:4" x14ac:dyDescent="0.3">
      <c r="D131" s="47"/>
    </row>
    <row r="132" spans="4:4" x14ac:dyDescent="0.3">
      <c r="D132" s="47"/>
    </row>
    <row r="133" spans="4:4" x14ac:dyDescent="0.3">
      <c r="D133" s="47"/>
    </row>
    <row r="134" spans="4:4" x14ac:dyDescent="0.3">
      <c r="D134" s="47"/>
    </row>
    <row r="135" spans="4:4" x14ac:dyDescent="0.3">
      <c r="D135" s="47"/>
    </row>
    <row r="136" spans="4:4" x14ac:dyDescent="0.3">
      <c r="D136" s="47"/>
    </row>
    <row r="137" spans="4:4" x14ac:dyDescent="0.3">
      <c r="D137" s="47"/>
    </row>
    <row r="138" spans="4:4" x14ac:dyDescent="0.3">
      <c r="D138" s="47"/>
    </row>
    <row r="139" spans="4:4" x14ac:dyDescent="0.3">
      <c r="D139" s="47"/>
    </row>
    <row r="140" spans="4:4" x14ac:dyDescent="0.3">
      <c r="D140" s="47"/>
    </row>
    <row r="141" spans="4:4" x14ac:dyDescent="0.3">
      <c r="D141" s="47"/>
    </row>
    <row r="142" spans="4:4" x14ac:dyDescent="0.3">
      <c r="D142" s="47"/>
    </row>
    <row r="143" spans="4:4" x14ac:dyDescent="0.3">
      <c r="D143" s="47"/>
    </row>
    <row r="144" spans="4:4" x14ac:dyDescent="0.3">
      <c r="D144" s="47"/>
    </row>
    <row r="145" spans="4:4" x14ac:dyDescent="0.3">
      <c r="D145" s="47"/>
    </row>
    <row r="146" spans="4:4" x14ac:dyDescent="0.3">
      <c r="D146" s="47"/>
    </row>
    <row r="147" spans="4:4" x14ac:dyDescent="0.3">
      <c r="D147" s="47"/>
    </row>
    <row r="148" spans="4:4" x14ac:dyDescent="0.3">
      <c r="D148" s="47"/>
    </row>
    <row r="149" spans="4:4" x14ac:dyDescent="0.3">
      <c r="D149" s="47"/>
    </row>
    <row r="150" spans="4:4" x14ac:dyDescent="0.3">
      <c r="D150" s="47"/>
    </row>
    <row r="152" spans="4:4" x14ac:dyDescent="0.3">
      <c r="D152" s="4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B1229-BBFA-4F30-B78C-0EDD7172B5E5}">
  <sheetPr filterMode="1">
    <tabColor rgb="FFC3640D"/>
  </sheetPr>
  <dimension ref="A1:R83"/>
  <sheetViews>
    <sheetView topLeftCell="B2" workbookViewId="0">
      <selection activeCell="C5" sqref="C5:C73"/>
    </sheetView>
  </sheetViews>
  <sheetFormatPr defaultRowHeight="14.4" x14ac:dyDescent="0.3"/>
  <cols>
    <col min="1" max="1" width="56.33203125" customWidth="1"/>
    <col min="2" max="2" width="28.5546875" customWidth="1"/>
    <col min="3" max="3" width="20.77734375" customWidth="1"/>
    <col min="4" max="4" width="22.6640625" style="3" customWidth="1"/>
    <col min="5" max="5" width="24.33203125" style="54" customWidth="1"/>
    <col min="6" max="6" width="21.77734375" style="54" customWidth="1"/>
    <col min="7" max="7" width="17.6640625" style="55" customWidth="1"/>
    <col min="8" max="8" width="23.109375" style="3" customWidth="1"/>
    <col min="9" max="9" width="30" customWidth="1"/>
    <col min="10" max="10" width="18.88671875" style="54" customWidth="1"/>
    <col min="11" max="11" width="15" style="54" customWidth="1"/>
    <col min="12" max="12" width="41.5546875" customWidth="1"/>
    <col min="13" max="13" width="20.77734375" customWidth="1"/>
    <col min="14" max="14" width="25.6640625" bestFit="1" customWidth="1"/>
    <col min="15" max="15" width="30.77734375" bestFit="1" customWidth="1"/>
    <col min="17" max="17" width="53.33203125" customWidth="1"/>
    <col min="18" max="18" width="17" customWidth="1"/>
  </cols>
  <sheetData>
    <row r="1" spans="1:18" ht="18" x14ac:dyDescent="0.35">
      <c r="A1" s="48" t="s">
        <v>273</v>
      </c>
      <c r="Q1" s="85" t="s">
        <v>248</v>
      </c>
      <c r="R1" s="86">
        <f>DATE(2025,5,10)</f>
        <v>45787</v>
      </c>
    </row>
    <row r="2" spans="1:18" ht="57.6" x14ac:dyDescent="0.3">
      <c r="Q2" s="156" t="s">
        <v>259</v>
      </c>
    </row>
    <row r="3" spans="1:18" ht="15.6" x14ac:dyDescent="0.3">
      <c r="A3" s="59" t="s">
        <v>0</v>
      </c>
      <c r="B3" s="59" t="s">
        <v>1</v>
      </c>
      <c r="C3" s="59" t="s">
        <v>2</v>
      </c>
      <c r="D3" s="60" t="s">
        <v>5</v>
      </c>
      <c r="E3" s="61" t="s">
        <v>6</v>
      </c>
      <c r="F3" s="61" t="s">
        <v>7</v>
      </c>
      <c r="G3" s="62" t="s">
        <v>8</v>
      </c>
      <c r="H3" s="60" t="s">
        <v>242</v>
      </c>
      <c r="I3" s="59" t="s">
        <v>243</v>
      </c>
      <c r="J3" s="61" t="s">
        <v>244</v>
      </c>
      <c r="K3" s="61" t="s">
        <v>245</v>
      </c>
      <c r="L3" s="59" t="s">
        <v>246</v>
      </c>
      <c r="M3" s="59" t="s">
        <v>247</v>
      </c>
      <c r="N3" s="59" t="s">
        <v>210</v>
      </c>
      <c r="O3" s="59" t="s">
        <v>211</v>
      </c>
      <c r="R3" s="50"/>
    </row>
    <row r="4" spans="1:18" x14ac:dyDescent="0.3">
      <c r="A4" s="4" t="str">
        <f>CLEANED!A2</f>
        <v>SKU-5035</v>
      </c>
      <c r="B4" s="6" t="str">
        <f>CLEANED!B2</f>
        <v>Electric Kettle 1.7L</v>
      </c>
      <c r="C4" s="6" t="str">
        <f>CLEANED!C2</f>
        <v>Home &amp; Kitchen</v>
      </c>
      <c r="D4" s="7">
        <f>CLEANED!F2</f>
        <v>125</v>
      </c>
      <c r="E4" s="8">
        <f>CLEANED!G2</f>
        <v>11240.84</v>
      </c>
      <c r="F4" s="8">
        <f>CLEANED!H2</f>
        <v>21532.76</v>
      </c>
      <c r="G4" s="9">
        <f>CLEANED!I2</f>
        <v>45673</v>
      </c>
      <c r="H4" s="7">
        <f>IF(M4="NO SALE RECORDED","No Sale Record",$R$1-G4)</f>
        <v>114</v>
      </c>
      <c r="I4" s="6" t="str">
        <f>IF(H4="No Sale Record","🔴 Dead - No Sale",IF(H4&gt;90,"🔴 Dead (90+ Days)",IF(H4&gt;60,"🟡 At Risk (61-90 Days)",IF(H4&gt;30,"🟠 Slow (31-60 Days)","🟢 Active (0-30 Days)"))))</f>
        <v>🔴 Dead (90+ Days)</v>
      </c>
      <c r="J4" s="8">
        <f>IF(N4="NEGATIVE QTY - DATA ERROR",0,D4*E4)</f>
        <v>1405105</v>
      </c>
      <c r="K4" s="8">
        <f>IF(OR(D4&lt;=0,N4="NEGATIVE QTY - DATA ERROR"),0,CLEANED!J2/D4)</f>
        <v>0.216</v>
      </c>
      <c r="L4" s="6" t="str">
        <f>IF(N4="NEGATIVE QTY - DATA ERROR","Data Error",IF(D4&lt;=CLEANED!N2,"⚠️ Below Reorder Point - Restock Now",IF(AND(H4&gt;90,D4&gt;CLEANED!N2*2),"📦 Overstocked &amp; Dead","✅ Stock Level OK")))</f>
        <v>⚠️ Below Reorder Point - Restock Now</v>
      </c>
      <c r="M4" s="6" t="str">
        <f>CLEANED!P2</f>
        <v>OK</v>
      </c>
      <c r="N4" s="6" t="str">
        <f>CLEANED!Q2</f>
        <v>OK</v>
      </c>
      <c r="O4" s="6" t="str">
        <f>CLEANED!R2</f>
        <v>OK</v>
      </c>
      <c r="R4" s="49"/>
    </row>
    <row r="5" spans="1:18" hidden="1" x14ac:dyDescent="0.3">
      <c r="A5" s="4" t="str">
        <f>CLEANED!A3</f>
        <v>SKU-5050</v>
      </c>
      <c r="B5" s="6" t="str">
        <f>CLEANED!B3</f>
        <v>Multivitamin 60 Tabs</v>
      </c>
      <c r="C5" s="6" t="str">
        <f>CLEANED!C3</f>
        <v>Health &amp; Beauty</v>
      </c>
      <c r="D5" s="7">
        <f>CLEANED!F3</f>
        <v>266</v>
      </c>
      <c r="E5" s="8">
        <f>CLEANED!G3</f>
        <v>13724.92</v>
      </c>
      <c r="F5" s="8">
        <f>CLEANED!H3</f>
        <v>10571.67</v>
      </c>
      <c r="G5" s="9">
        <f>CLEANED!I3</f>
        <v>43831</v>
      </c>
      <c r="H5" s="7" t="str">
        <f t="shared" ref="H5:H68" si="0">IF(M5="NO SALE RECORDED","No Sale Record",$R$1-G5)</f>
        <v>No Sale Record</v>
      </c>
      <c r="I5" s="6" t="str">
        <f t="shared" ref="I5:I68" si="1">IF(H5="No Sale Record","🔴 Dead - No Sale",IF(H5&gt;90,"🔴 Dead (90+ Days)",IF(H5&gt;60,"🟡 At Risk (61-90 Days)",IF(H5&gt;30,"🟠 Slow (31-60 Days)","🟢 Active (0-30 Days)"))))</f>
        <v>🔴 Dead - No Sale</v>
      </c>
      <c r="J5" s="8">
        <f t="shared" ref="J5:J68" si="2">IF(N5="NEGATIVE QTY - DATA ERROR",0,D5*E5)</f>
        <v>3650828.72</v>
      </c>
      <c r="K5" s="8">
        <f>IF(OR(D5&lt;=0,N5="NEGATIVE QTY - DATA ERROR"),0,CLEANED!J3/D5)</f>
        <v>0.36842105263157893</v>
      </c>
      <c r="L5" s="6" t="str">
        <f>IF(N5="NEGATIVE QTY - DATA ERROR","Data Error",IF(D5&lt;=CLEANED!N3,"⚠️ Below Reorder Point - Restock Now",IF(AND(H5&gt;90,D5&gt;CLEANED!N3*2),"📦 Overstocked &amp; Dead","✅ Stock Level OK")))</f>
        <v>✅ Stock Level OK</v>
      </c>
      <c r="M5" s="6" t="str">
        <f>CLEANED!P3</f>
        <v>NO SALE RECORDED</v>
      </c>
      <c r="N5" s="6" t="str">
        <f>CLEANED!Q3</f>
        <v>OK</v>
      </c>
      <c r="O5" s="6" t="str">
        <f>CLEANED!R3</f>
        <v>SELLING AT LOSS - REVIEW PRICING</v>
      </c>
    </row>
    <row r="6" spans="1:18" hidden="1" x14ac:dyDescent="0.3">
      <c r="A6" s="4" t="str">
        <f>CLEANED!A4</f>
        <v>SKU-5057</v>
      </c>
      <c r="B6" s="6" t="str">
        <f>CLEANED!B4</f>
        <v>Nail Kit Manicure</v>
      </c>
      <c r="C6" s="6" t="str">
        <f>CLEANED!C4</f>
        <v>Health &amp; Beauty</v>
      </c>
      <c r="D6" s="7">
        <f>CLEANED!F4</f>
        <v>108</v>
      </c>
      <c r="E6" s="8">
        <f>CLEANED!G4</f>
        <v>5279.72</v>
      </c>
      <c r="F6" s="8">
        <f>CLEANED!H4</f>
        <v>6714.94</v>
      </c>
      <c r="G6" s="9">
        <f>CLEANED!I4</f>
        <v>45745</v>
      </c>
      <c r="H6" s="7">
        <f t="shared" si="0"/>
        <v>42</v>
      </c>
      <c r="I6" s="6" t="str">
        <f t="shared" si="1"/>
        <v>🟠 Slow (31-60 Days)</v>
      </c>
      <c r="J6" s="8">
        <f t="shared" si="2"/>
        <v>570209.76</v>
      </c>
      <c r="K6" s="8">
        <f>IF(OR(D6&lt;=0,N6="NEGATIVE QTY - DATA ERROR"),0,CLEANED!J4/D6)</f>
        <v>0.83333333333333337</v>
      </c>
      <c r="L6" s="6" t="str">
        <f>IF(N6="NEGATIVE QTY - DATA ERROR","Data Error",IF(D6&lt;=CLEANED!N4,"⚠️ Below Reorder Point - Restock Now",IF(AND(H6&gt;90,D6&gt;CLEANED!N4*2),"📦 Overstocked &amp; Dead","✅ Stock Level OK")))</f>
        <v>⚠️ Below Reorder Point - Restock Now</v>
      </c>
      <c r="M6" s="6" t="str">
        <f>CLEANED!P4</f>
        <v>OK</v>
      </c>
      <c r="N6" s="6" t="str">
        <f>CLEANED!Q4</f>
        <v>OK</v>
      </c>
      <c r="O6" s="6" t="str">
        <f>CLEANED!R4</f>
        <v>OK</v>
      </c>
    </row>
    <row r="7" spans="1:18" x14ac:dyDescent="0.3">
      <c r="A7" s="4" t="str">
        <f>CLEANED!A5</f>
        <v>SKU-5070</v>
      </c>
      <c r="B7" s="6" t="str">
        <f>CLEANED!B5</f>
        <v>Tennis Ball Pack 3</v>
      </c>
      <c r="C7" s="6" t="str">
        <f>CLEANED!C5</f>
        <v>Sports &amp; Outdoor</v>
      </c>
      <c r="D7" s="7">
        <f>CLEANED!F5</f>
        <v>316</v>
      </c>
      <c r="E7" s="8">
        <f>CLEANED!G5</f>
        <v>13131.29</v>
      </c>
      <c r="F7" s="8">
        <f>CLEANED!H5</f>
        <v>29242.82</v>
      </c>
      <c r="G7" s="9">
        <f>CLEANED!I5</f>
        <v>45661</v>
      </c>
      <c r="H7" s="7">
        <f t="shared" si="0"/>
        <v>126</v>
      </c>
      <c r="I7" s="6" t="str">
        <f t="shared" si="1"/>
        <v>🔴 Dead (90+ Days)</v>
      </c>
      <c r="J7" s="8">
        <f t="shared" si="2"/>
        <v>4149487.64</v>
      </c>
      <c r="K7" s="8">
        <f>IF(OR(D7&lt;=0,N7="NEGATIVE QTY - DATA ERROR"),0,CLEANED!J5/D7)</f>
        <v>9.4936708860759497E-3</v>
      </c>
      <c r="L7" s="6" t="str">
        <f>IF(N7="NEGATIVE QTY - DATA ERROR","Data Error",IF(D7&lt;=CLEANED!N5,"⚠️ Below Reorder Point - Restock Now",IF(AND(H7&gt;90,D7&gt;CLEANED!N5*2),"📦 Overstocked &amp; Dead","✅ Stock Level OK")))</f>
        <v>📦 Overstocked &amp; Dead</v>
      </c>
      <c r="M7" s="6" t="str">
        <f>CLEANED!P5</f>
        <v>OK</v>
      </c>
      <c r="N7" s="6" t="str">
        <f>CLEANED!Q5</f>
        <v>OK</v>
      </c>
      <c r="O7" s="6" t="str">
        <f>CLEANED!R5</f>
        <v>OK</v>
      </c>
    </row>
    <row r="8" spans="1:18" hidden="1" x14ac:dyDescent="0.3">
      <c r="A8" s="4" t="str">
        <f>CLEANED!A6</f>
        <v>SKU-5024</v>
      </c>
      <c r="B8" s="6" t="str">
        <f>CLEANED!B6</f>
        <v>Zip Hoodie</v>
      </c>
      <c r="C8" s="6" t="str">
        <f>CLEANED!C6</f>
        <v>Clothing</v>
      </c>
      <c r="D8" s="7">
        <f>CLEANED!F6</f>
        <v>119</v>
      </c>
      <c r="E8" s="8">
        <f>CLEANED!G6</f>
        <v>3337.44</v>
      </c>
      <c r="F8" s="8">
        <f>CLEANED!H6</f>
        <v>5226.38</v>
      </c>
      <c r="G8" s="9">
        <f>CLEANED!I6</f>
        <v>45766</v>
      </c>
      <c r="H8" s="7">
        <f t="shared" si="0"/>
        <v>21</v>
      </c>
      <c r="I8" s="6" t="str">
        <f t="shared" si="1"/>
        <v>🟢 Active (0-30 Days)</v>
      </c>
      <c r="J8" s="8">
        <f t="shared" si="2"/>
        <v>397155.36</v>
      </c>
      <c r="K8" s="8">
        <f>IF(OR(D8&lt;=0,N8="NEGATIVE QTY - DATA ERROR"),0,CLEANED!J6/D8)</f>
        <v>0.36974789915966388</v>
      </c>
      <c r="L8" s="6" t="str">
        <f>IF(N8="NEGATIVE QTY - DATA ERROR","Data Error",IF(D8&lt;=CLEANED!N6,"⚠️ Below Reorder Point - Restock Now",IF(AND(H8&gt;90,D8&gt;CLEANED!N6*2),"📦 Overstocked &amp; Dead","✅ Stock Level OK")))</f>
        <v>⚠️ Below Reorder Point - Restock Now</v>
      </c>
      <c r="M8" s="6" t="str">
        <f>CLEANED!P6</f>
        <v>OK</v>
      </c>
      <c r="N8" s="6" t="str">
        <f>CLEANED!Q6</f>
        <v>OK</v>
      </c>
      <c r="O8" s="6" t="str">
        <f>CLEANED!R6</f>
        <v>OK</v>
      </c>
    </row>
    <row r="9" spans="1:18" hidden="1" x14ac:dyDescent="0.3">
      <c r="A9" s="4" t="str">
        <f>CLEANED!A7</f>
        <v>SKU-5025</v>
      </c>
      <c r="B9" s="6" t="str">
        <f>CLEANED!B7</f>
        <v>Socks 6-pack</v>
      </c>
      <c r="C9" s="6" t="str">
        <f>CLEANED!C7</f>
        <v>Clothing</v>
      </c>
      <c r="D9" s="7">
        <f>CLEANED!F7</f>
        <v>209</v>
      </c>
      <c r="E9" s="8">
        <f>CLEANED!G7</f>
        <v>9430.58</v>
      </c>
      <c r="F9" s="8">
        <f>CLEANED!H7</f>
        <v>21444.38</v>
      </c>
      <c r="G9" s="9">
        <f>CLEANED!I7</f>
        <v>45774</v>
      </c>
      <c r="H9" s="7">
        <f t="shared" si="0"/>
        <v>13</v>
      </c>
      <c r="I9" s="6" t="str">
        <f t="shared" si="1"/>
        <v>🟢 Active (0-30 Days)</v>
      </c>
      <c r="J9" s="8">
        <f t="shared" si="2"/>
        <v>1970991.22</v>
      </c>
      <c r="K9" s="8">
        <f>IF(OR(D9&lt;=0,N9="NEGATIVE QTY - DATA ERROR"),0,CLEANED!J7/D9)</f>
        <v>3.8277511961722487E-2</v>
      </c>
      <c r="L9" s="6" t="str">
        <f>IF(N9="NEGATIVE QTY - DATA ERROR","Data Error",IF(D9&lt;=CLEANED!N7,"⚠️ Below Reorder Point - Restock Now",IF(AND(H9&gt;90,D9&gt;CLEANED!N7*2),"📦 Overstocked &amp; Dead","✅ Stock Level OK")))</f>
        <v>✅ Stock Level OK</v>
      </c>
      <c r="M9" s="6" t="str">
        <f>CLEANED!P7</f>
        <v>OK</v>
      </c>
      <c r="N9" s="6" t="str">
        <f>CLEANED!Q7</f>
        <v>OK</v>
      </c>
      <c r="O9" s="6" t="str">
        <f>CLEANED!R7</f>
        <v>OK</v>
      </c>
    </row>
    <row r="10" spans="1:18" hidden="1" x14ac:dyDescent="0.3">
      <c r="A10" s="4" t="str">
        <f>CLEANED!A8</f>
        <v>SKU-5014</v>
      </c>
      <c r="B10" s="6" t="str">
        <f>CLEANED!B8</f>
        <v>Dash Cam</v>
      </c>
      <c r="C10" s="6" t="str">
        <f>CLEANED!C8</f>
        <v>Electronics</v>
      </c>
      <c r="D10" s="7">
        <f>CLEANED!F8</f>
        <v>10</v>
      </c>
      <c r="E10" s="8">
        <f>CLEANED!G8</f>
        <v>15584.01</v>
      </c>
      <c r="F10" s="8">
        <f>CLEANED!H8</f>
        <v>21764.48</v>
      </c>
      <c r="G10" s="9">
        <f>CLEANED!I8</f>
        <v>45738</v>
      </c>
      <c r="H10" s="7">
        <f t="shared" si="0"/>
        <v>49</v>
      </c>
      <c r="I10" s="6" t="str">
        <f t="shared" si="1"/>
        <v>🟠 Slow (31-60 Days)</v>
      </c>
      <c r="J10" s="8">
        <f t="shared" si="2"/>
        <v>155840.1</v>
      </c>
      <c r="K10" s="8">
        <f>IF(OR(D10&lt;=0,N10="NEGATIVE QTY - DATA ERROR"),0,CLEANED!J8/D10)</f>
        <v>3.3</v>
      </c>
      <c r="L10" s="6" t="str">
        <f>IF(N10="NEGATIVE QTY - DATA ERROR","Data Error",IF(D10&lt;=CLEANED!N8,"⚠️ Below Reorder Point - Restock Now",IF(AND(H10&gt;90,D10&gt;CLEANED!N8*2),"📦 Overstocked &amp; Dead","✅ Stock Level OK")))</f>
        <v>⚠️ Below Reorder Point - Restock Now</v>
      </c>
      <c r="M10" s="6" t="str">
        <f>CLEANED!P8</f>
        <v>OK</v>
      </c>
      <c r="N10" s="6" t="str">
        <f>CLEANED!Q8</f>
        <v>OK</v>
      </c>
      <c r="O10" s="6" t="str">
        <f>CLEANED!R8</f>
        <v>OK</v>
      </c>
    </row>
    <row r="11" spans="1:18" hidden="1" x14ac:dyDescent="0.3">
      <c r="A11" s="4" t="str">
        <f>CLEANED!A9</f>
        <v>SKU-5055</v>
      </c>
      <c r="B11" s="6" t="str">
        <f>CLEANED!B9</f>
        <v>Face Wash Neem</v>
      </c>
      <c r="C11" s="6" t="str">
        <f>CLEANED!C9</f>
        <v>Health &amp; Beauty</v>
      </c>
      <c r="D11" s="7">
        <f>CLEANED!F9</f>
        <v>522</v>
      </c>
      <c r="E11" s="8">
        <f>CLEANED!G9</f>
        <v>17657.599999999999</v>
      </c>
      <c r="F11" s="8">
        <f>CLEANED!H9</f>
        <v>20874.689999999999</v>
      </c>
      <c r="G11" s="9">
        <f>CLEANED!I9</f>
        <v>45754</v>
      </c>
      <c r="H11" s="7">
        <f t="shared" si="0"/>
        <v>33</v>
      </c>
      <c r="I11" s="6" t="str">
        <f t="shared" si="1"/>
        <v>🟠 Slow (31-60 Days)</v>
      </c>
      <c r="J11" s="8">
        <f t="shared" si="2"/>
        <v>9217267.1999999993</v>
      </c>
      <c r="K11" s="8">
        <f>IF(OR(D11&lt;=0,N11="NEGATIVE QTY - DATA ERROR"),0,CLEANED!J9/D11)</f>
        <v>8.0459770114942528E-2</v>
      </c>
      <c r="L11" s="6" t="str">
        <f>IF(N11="NEGATIVE QTY - DATA ERROR","Data Error",IF(D11&lt;=CLEANED!N9,"⚠️ Below Reorder Point - Restock Now",IF(AND(H11&gt;90,D11&gt;CLEANED!N9*2),"📦 Overstocked &amp; Dead","✅ Stock Level OK")))</f>
        <v>✅ Stock Level OK</v>
      </c>
      <c r="M11" s="6" t="str">
        <f>CLEANED!P9</f>
        <v>OK</v>
      </c>
      <c r="N11" s="6" t="str">
        <f>CLEANED!Q9</f>
        <v>OK</v>
      </c>
      <c r="O11" s="6" t="str">
        <f>CLEANED!R9</f>
        <v>OK</v>
      </c>
    </row>
    <row r="12" spans="1:18" hidden="1" x14ac:dyDescent="0.3">
      <c r="A12" s="4" t="str">
        <f>CLEANED!A10</f>
        <v>SKU-5037</v>
      </c>
      <c r="B12" s="6" t="str">
        <f>CLEANED!B10</f>
        <v>Rice Cooker 1.8L</v>
      </c>
      <c r="C12" s="6" t="str">
        <f>CLEANED!C10</f>
        <v>Home &amp; Kitchen</v>
      </c>
      <c r="D12" s="7">
        <f>CLEANED!F10</f>
        <v>78</v>
      </c>
      <c r="E12" s="8">
        <f>CLEANED!G10</f>
        <v>883.08</v>
      </c>
      <c r="F12" s="8">
        <f>CLEANED!H10</f>
        <v>1970.47</v>
      </c>
      <c r="G12" s="9">
        <f>CLEANED!I10</f>
        <v>45749</v>
      </c>
      <c r="H12" s="7">
        <f t="shared" si="0"/>
        <v>38</v>
      </c>
      <c r="I12" s="6" t="str">
        <f t="shared" si="1"/>
        <v>🟠 Slow (31-60 Days)</v>
      </c>
      <c r="J12" s="8">
        <f t="shared" si="2"/>
        <v>68880.240000000005</v>
      </c>
      <c r="K12" s="8">
        <f>IF(OR(D12&lt;=0,N12="NEGATIVE QTY - DATA ERROR"),0,CLEANED!J10/D12)</f>
        <v>0.55128205128205132</v>
      </c>
      <c r="L12" s="6" t="str">
        <f>IF(N12="NEGATIVE QTY - DATA ERROR","Data Error",IF(D12&lt;=CLEANED!N10,"⚠️ Below Reorder Point - Restock Now",IF(AND(H12&gt;90,D12&gt;CLEANED!N10*2),"📦 Overstocked &amp; Dead","✅ Stock Level OK")))</f>
        <v>✅ Stock Level OK</v>
      </c>
      <c r="M12" s="6" t="str">
        <f>CLEANED!P10</f>
        <v>OK</v>
      </c>
      <c r="N12" s="6" t="str">
        <f>CLEANED!Q10</f>
        <v>OK</v>
      </c>
      <c r="O12" s="6" t="str">
        <f>CLEANED!R10</f>
        <v>OK</v>
      </c>
    </row>
    <row r="13" spans="1:18" hidden="1" x14ac:dyDescent="0.3">
      <c r="A13" s="4" t="str">
        <f>CLEANED!A11</f>
        <v>SKU-5045</v>
      </c>
      <c r="B13" s="6" t="str">
        <f>CLEANED!B11</f>
        <v>Face Moisturizer SPF30</v>
      </c>
      <c r="C13" s="6" t="str">
        <f>CLEANED!C11</f>
        <v>Health &amp; Beauty</v>
      </c>
      <c r="D13" s="7">
        <f>CLEANED!F11</f>
        <v>109</v>
      </c>
      <c r="E13" s="8">
        <f>CLEANED!G11</f>
        <v>5601.04</v>
      </c>
      <c r="F13" s="8">
        <f>CLEANED!H11</f>
        <v>12009.64</v>
      </c>
      <c r="G13" s="9">
        <f>CLEANED!I11</f>
        <v>45761</v>
      </c>
      <c r="H13" s="7">
        <f t="shared" si="0"/>
        <v>26</v>
      </c>
      <c r="I13" s="6" t="str">
        <f t="shared" si="1"/>
        <v>🟢 Active (0-30 Days)</v>
      </c>
      <c r="J13" s="8">
        <f t="shared" si="2"/>
        <v>610513.36</v>
      </c>
      <c r="K13" s="8">
        <f>IF(OR(D13&lt;=0,N13="NEGATIVE QTY - DATA ERROR"),0,CLEANED!J11/D13)</f>
        <v>0.23853211009174313</v>
      </c>
      <c r="L13" s="6" t="str">
        <f>IF(N13="NEGATIVE QTY - DATA ERROR","Data Error",IF(D13&lt;=CLEANED!N11,"⚠️ Below Reorder Point - Restock Now",IF(AND(H13&gt;90,D13&gt;CLEANED!N11*2),"📦 Overstocked &amp; Dead","✅ Stock Level OK")))</f>
        <v>✅ Stock Level OK</v>
      </c>
      <c r="M13" s="6" t="str">
        <f>CLEANED!P11</f>
        <v>OK</v>
      </c>
      <c r="N13" s="6" t="str">
        <f>CLEANED!Q11</f>
        <v>OK</v>
      </c>
      <c r="O13" s="6" t="str">
        <f>CLEANED!R11</f>
        <v>OK</v>
      </c>
    </row>
    <row r="14" spans="1:18" hidden="1" x14ac:dyDescent="0.3">
      <c r="A14" s="4" t="str">
        <f>CLEANED!A12</f>
        <v>SKU-5067</v>
      </c>
      <c r="B14" s="6" t="str">
        <f>CLEANED!B12</f>
        <v>Badminton Racket Set</v>
      </c>
      <c r="C14" s="6" t="str">
        <f>CLEANED!C12</f>
        <v>Sports &amp; Outdoor</v>
      </c>
      <c r="D14" s="7">
        <f>CLEANED!F12</f>
        <v>101</v>
      </c>
      <c r="E14" s="8">
        <f>CLEANED!G12</f>
        <v>17432.490000000002</v>
      </c>
      <c r="F14" s="8">
        <f>CLEANED!H12</f>
        <v>43662.13</v>
      </c>
      <c r="G14" s="9">
        <f>CLEANED!I12</f>
        <v>45708</v>
      </c>
      <c r="H14" s="7">
        <f t="shared" si="0"/>
        <v>79</v>
      </c>
      <c r="I14" s="6" t="str">
        <f t="shared" si="1"/>
        <v>🟡 At Risk (61-90 Days)</v>
      </c>
      <c r="J14" s="8">
        <f t="shared" si="2"/>
        <v>1760681.4900000002</v>
      </c>
      <c r="K14" s="8">
        <f>IF(OR(D14&lt;=0,N14="NEGATIVE QTY - DATA ERROR"),0,CLEANED!J12/D14)</f>
        <v>0.81188118811881194</v>
      </c>
      <c r="L14" s="6" t="str">
        <f>IF(N14="NEGATIVE QTY - DATA ERROR","Data Error",IF(D14&lt;=CLEANED!N12,"⚠️ Below Reorder Point - Restock Now",IF(AND(H14&gt;90,D14&gt;CLEANED!N12*2),"📦 Overstocked &amp; Dead","✅ Stock Level OK")))</f>
        <v>✅ Stock Level OK</v>
      </c>
      <c r="M14" s="6" t="str">
        <f>CLEANED!P12</f>
        <v>OK</v>
      </c>
      <c r="N14" s="6" t="str">
        <f>CLEANED!Q12</f>
        <v>OK</v>
      </c>
      <c r="O14" s="6" t="str">
        <f>CLEANED!R12</f>
        <v>OK</v>
      </c>
    </row>
    <row r="15" spans="1:18" hidden="1" x14ac:dyDescent="0.3">
      <c r="A15" s="4" t="str">
        <f>CLEANED!A13</f>
        <v>SKU-5004</v>
      </c>
      <c r="B15" s="6" t="str">
        <f>CLEANED!B13</f>
        <v>Power Bank 20000mAh</v>
      </c>
      <c r="C15" s="6" t="str">
        <f>CLEANED!C13</f>
        <v>Electronics</v>
      </c>
      <c r="D15" s="7">
        <f>CLEANED!F13</f>
        <v>578</v>
      </c>
      <c r="E15" s="8">
        <f>CLEANED!G13</f>
        <v>8401.34</v>
      </c>
      <c r="F15" s="8">
        <f>CLEANED!H13</f>
        <v>22470.7</v>
      </c>
      <c r="G15" s="9">
        <f>CLEANED!I13</f>
        <v>43831</v>
      </c>
      <c r="H15" s="7" t="str">
        <f t="shared" si="0"/>
        <v>No Sale Record</v>
      </c>
      <c r="I15" s="6" t="str">
        <f t="shared" si="1"/>
        <v>🔴 Dead - No Sale</v>
      </c>
      <c r="J15" s="8">
        <f t="shared" si="2"/>
        <v>4855974.5200000005</v>
      </c>
      <c r="K15" s="8">
        <f>IF(OR(D15&lt;=0,N15="NEGATIVE QTY - DATA ERROR"),0,CLEANED!J13/D15)</f>
        <v>7.0934256055363326E-2</v>
      </c>
      <c r="L15" s="6" t="str">
        <f>IF(N15="NEGATIVE QTY - DATA ERROR","Data Error",IF(D15&lt;=CLEANED!N13,"⚠️ Below Reorder Point - Restock Now",IF(AND(H15&gt;90,D15&gt;CLEANED!N13*2),"📦 Overstocked &amp; Dead","✅ Stock Level OK")))</f>
        <v>📦 Overstocked &amp; Dead</v>
      </c>
      <c r="M15" s="6" t="str">
        <f>CLEANED!P13</f>
        <v>NO SALE RECORDED</v>
      </c>
      <c r="N15" s="6" t="str">
        <f>CLEANED!Q13</f>
        <v>OK</v>
      </c>
      <c r="O15" s="6" t="str">
        <f>CLEANED!R13</f>
        <v>OK</v>
      </c>
    </row>
    <row r="16" spans="1:18" hidden="1" x14ac:dyDescent="0.3">
      <c r="A16" s="4" t="str">
        <f>CLEANED!A14</f>
        <v>SKU-5002</v>
      </c>
      <c r="B16" s="6" t="str">
        <f>CLEANED!B14</f>
        <v>USB-C Hub</v>
      </c>
      <c r="C16" s="6" t="str">
        <f>CLEANED!C14</f>
        <v>Electronics</v>
      </c>
      <c r="D16" s="7">
        <f>CLEANED!F14</f>
        <v>557</v>
      </c>
      <c r="E16" s="8">
        <f>CLEANED!G14</f>
        <v>10926.51</v>
      </c>
      <c r="F16" s="8">
        <f>CLEANED!H14</f>
        <v>25633.040000000001</v>
      </c>
      <c r="G16" s="9">
        <f>CLEANED!I14</f>
        <v>45703</v>
      </c>
      <c r="H16" s="7">
        <f t="shared" si="0"/>
        <v>84</v>
      </c>
      <c r="I16" s="6" t="str">
        <f t="shared" si="1"/>
        <v>🟡 At Risk (61-90 Days)</v>
      </c>
      <c r="J16" s="8">
        <f t="shared" si="2"/>
        <v>6086066.0700000003</v>
      </c>
      <c r="K16" s="8">
        <f>IF(OR(D16&lt;=0,N16="NEGATIVE QTY - DATA ERROR"),0,CLEANED!J14/D16)</f>
        <v>0.2118491921005386</v>
      </c>
      <c r="L16" s="6" t="str">
        <f>IF(N16="NEGATIVE QTY - DATA ERROR","Data Error",IF(D16&lt;=CLEANED!N14,"⚠️ Below Reorder Point - Restock Now",IF(AND(H16&gt;90,D16&gt;CLEANED!N14*2),"📦 Overstocked &amp; Dead","✅ Stock Level OK")))</f>
        <v>✅ Stock Level OK</v>
      </c>
      <c r="M16" s="6" t="str">
        <f>CLEANED!P14</f>
        <v>OK</v>
      </c>
      <c r="N16" s="6" t="str">
        <f>CLEANED!Q14</f>
        <v>OK</v>
      </c>
      <c r="O16" s="6" t="str">
        <f>CLEANED!R14</f>
        <v>OK</v>
      </c>
    </row>
    <row r="17" spans="1:15" hidden="1" x14ac:dyDescent="0.3">
      <c r="A17" s="4" t="str">
        <f>CLEANED!A15</f>
        <v>SKU-5059</v>
      </c>
      <c r="B17" s="6" t="str">
        <f>CLEANED!B15</f>
        <v>Collagen Supplement</v>
      </c>
      <c r="C17" s="6" t="str">
        <f>CLEANED!C15</f>
        <v>Health &amp; Beauty</v>
      </c>
      <c r="D17" s="7">
        <f>CLEANED!F15</f>
        <v>567</v>
      </c>
      <c r="E17" s="8">
        <f>CLEANED!G15</f>
        <v>16195.52</v>
      </c>
      <c r="F17" s="8">
        <f>CLEANED!H15</f>
        <v>25965</v>
      </c>
      <c r="G17" s="9">
        <f>CLEANED!I15</f>
        <v>45714</v>
      </c>
      <c r="H17" s="7">
        <f t="shared" si="0"/>
        <v>73</v>
      </c>
      <c r="I17" s="6" t="str">
        <f t="shared" si="1"/>
        <v>🟡 At Risk (61-90 Days)</v>
      </c>
      <c r="J17" s="8">
        <f t="shared" si="2"/>
        <v>9182859.8399999999</v>
      </c>
      <c r="K17" s="8">
        <f>IF(OR(D17&lt;=0,N17="NEGATIVE QTY - DATA ERROR"),0,CLEANED!J15/D17)</f>
        <v>9.8765432098765427E-2</v>
      </c>
      <c r="L17" s="6" t="str">
        <f>IF(N17="NEGATIVE QTY - DATA ERROR","Data Error",IF(D17&lt;=CLEANED!N15,"⚠️ Below Reorder Point - Restock Now",IF(AND(H17&gt;90,D17&gt;CLEANED!N15*2),"📦 Overstocked &amp; Dead","✅ Stock Level OK")))</f>
        <v>✅ Stock Level OK</v>
      </c>
      <c r="M17" s="6" t="str">
        <f>CLEANED!P15</f>
        <v>OK</v>
      </c>
      <c r="N17" s="6" t="str">
        <f>CLEANED!Q15</f>
        <v>OK</v>
      </c>
      <c r="O17" s="6" t="str">
        <f>CLEANED!R15</f>
        <v>OK</v>
      </c>
    </row>
    <row r="18" spans="1:15" x14ac:dyDescent="0.3">
      <c r="A18" s="4" t="str">
        <f>CLEANED!A16</f>
        <v>SKU-5030</v>
      </c>
      <c r="B18" s="6" t="str">
        <f>CLEANED!B16</f>
        <v>Pressure Cooker 5L</v>
      </c>
      <c r="C18" s="6" t="str">
        <f>CLEANED!C16</f>
        <v>Home &amp; Kitchen</v>
      </c>
      <c r="D18" s="7">
        <f>CLEANED!F16</f>
        <v>291</v>
      </c>
      <c r="E18" s="8">
        <f>CLEANED!G16</f>
        <v>8183.75</v>
      </c>
      <c r="F18" s="8">
        <f>CLEANED!H16</f>
        <v>20712.82</v>
      </c>
      <c r="G18" s="9">
        <f>CLEANED!I16</f>
        <v>45440</v>
      </c>
      <c r="H18" s="7">
        <f t="shared" si="0"/>
        <v>347</v>
      </c>
      <c r="I18" s="6" t="str">
        <f t="shared" si="1"/>
        <v>🔴 Dead (90+ Days)</v>
      </c>
      <c r="J18" s="8">
        <f t="shared" si="2"/>
        <v>2381471.25</v>
      </c>
      <c r="K18" s="8">
        <f>IF(OR(D18&lt;=0,N18="NEGATIVE QTY - DATA ERROR"),0,CLEANED!J16/D18)</f>
        <v>0.22680412371134021</v>
      </c>
      <c r="L18" s="6" t="str">
        <f>IF(N18="NEGATIVE QTY - DATA ERROR","Data Error",IF(D18&lt;=CLEANED!N16,"⚠️ Below Reorder Point - Restock Now",IF(AND(H18&gt;90,D18&gt;CLEANED!N16*2),"📦 Overstocked &amp; Dead","✅ Stock Level OK")))</f>
        <v>📦 Overstocked &amp; Dead</v>
      </c>
      <c r="M18" s="6" t="str">
        <f>CLEANED!P16</f>
        <v>OK</v>
      </c>
      <c r="N18" s="6" t="str">
        <f>CLEANED!Q16</f>
        <v>OK</v>
      </c>
      <c r="O18" s="6" t="str">
        <f>CLEANED!R16</f>
        <v>OK</v>
      </c>
    </row>
    <row r="19" spans="1:15" x14ac:dyDescent="0.3">
      <c r="A19" s="4" t="str">
        <f>CLEANED!A17</f>
        <v>SKU-5006</v>
      </c>
      <c r="B19" s="6" t="str">
        <f>CLEANED!B17</f>
        <v>Webcam HD 1080p</v>
      </c>
      <c r="C19" s="6" t="str">
        <f>CLEANED!C17</f>
        <v>Electronics</v>
      </c>
      <c r="D19" s="7">
        <f>CLEANED!F17</f>
        <v>120</v>
      </c>
      <c r="E19" s="8">
        <f>CLEANED!G17</f>
        <v>9245.0400000000009</v>
      </c>
      <c r="F19" s="8">
        <f>CLEANED!H17</f>
        <v>11086.24</v>
      </c>
      <c r="G19" s="9">
        <f>CLEANED!I17</f>
        <v>45613</v>
      </c>
      <c r="H19" s="7">
        <f t="shared" si="0"/>
        <v>174</v>
      </c>
      <c r="I19" s="6" t="str">
        <f t="shared" si="1"/>
        <v>🔴 Dead (90+ Days)</v>
      </c>
      <c r="J19" s="8">
        <f t="shared" si="2"/>
        <v>1109404.8</v>
      </c>
      <c r="K19" s="8">
        <f>IF(OR(D19&lt;=0,N19="NEGATIVE QTY - DATA ERROR"),0,CLEANED!J17/D19)</f>
        <v>0.16666666666666666</v>
      </c>
      <c r="L19" s="6" t="str">
        <f>IF(N19="NEGATIVE QTY - DATA ERROR","Data Error",IF(D19&lt;=CLEANED!N17,"⚠️ Below Reorder Point - Restock Now",IF(AND(H19&gt;90,D19&gt;CLEANED!N17*2),"📦 Overstocked &amp; Dead","✅ Stock Level OK")))</f>
        <v>⚠️ Below Reorder Point - Restock Now</v>
      </c>
      <c r="M19" s="6" t="str">
        <f>CLEANED!P17</f>
        <v>OK</v>
      </c>
      <c r="N19" s="6" t="str">
        <f>CLEANED!Q17</f>
        <v>OK</v>
      </c>
      <c r="O19" s="6" t="str">
        <f>CLEANED!R17</f>
        <v>OK</v>
      </c>
    </row>
    <row r="20" spans="1:15" hidden="1" x14ac:dyDescent="0.3">
      <c r="A20" s="4" t="str">
        <f>CLEANED!A18</f>
        <v>SKU-5060</v>
      </c>
      <c r="B20" s="6" t="str">
        <f>CLEANED!B18</f>
        <v>Yoga Mat 6mm</v>
      </c>
      <c r="C20" s="6" t="str">
        <f>CLEANED!C18</f>
        <v>Sports &amp; Outdoor</v>
      </c>
      <c r="D20" s="7">
        <f>CLEANED!F18</f>
        <v>596</v>
      </c>
      <c r="E20" s="8">
        <f>CLEANED!G18</f>
        <v>8775.26</v>
      </c>
      <c r="F20" s="8">
        <f>CLEANED!H18</f>
        <v>18259.830000000002</v>
      </c>
      <c r="G20" s="9">
        <f>CLEANED!I18</f>
        <v>45747</v>
      </c>
      <c r="H20" s="7">
        <f t="shared" si="0"/>
        <v>40</v>
      </c>
      <c r="I20" s="6" t="str">
        <f t="shared" si="1"/>
        <v>🟠 Slow (31-60 Days)</v>
      </c>
      <c r="J20" s="8">
        <f t="shared" si="2"/>
        <v>5230054.96</v>
      </c>
      <c r="K20" s="8">
        <f>IF(OR(D20&lt;=0,N20="NEGATIVE QTY - DATA ERROR"),0,CLEANED!J18/D20)</f>
        <v>0.14932885906040269</v>
      </c>
      <c r="L20" s="6" t="str">
        <f>IF(N20="NEGATIVE QTY - DATA ERROR","Data Error",IF(D20&lt;=CLEANED!N18,"⚠️ Below Reorder Point - Restock Now",IF(AND(H20&gt;90,D20&gt;CLEANED!N18*2),"📦 Overstocked &amp; Dead","✅ Stock Level OK")))</f>
        <v>✅ Stock Level OK</v>
      </c>
      <c r="M20" s="6" t="str">
        <f>CLEANED!P18</f>
        <v>OK</v>
      </c>
      <c r="N20" s="6" t="str">
        <f>CLEANED!Q18</f>
        <v>OK</v>
      </c>
      <c r="O20" s="6" t="str">
        <f>CLEANED!R18</f>
        <v>OK</v>
      </c>
    </row>
    <row r="21" spans="1:15" hidden="1" x14ac:dyDescent="0.3">
      <c r="A21" s="4" t="str">
        <f>CLEANED!A19</f>
        <v>SKU-5012</v>
      </c>
      <c r="B21" s="6" t="str">
        <f>CLEANED!B19</f>
        <v>Router WiFi 6</v>
      </c>
      <c r="C21" s="6" t="str">
        <f>CLEANED!C19</f>
        <v>Electronics</v>
      </c>
      <c r="D21" s="7">
        <f>CLEANED!F19</f>
        <v>441</v>
      </c>
      <c r="E21" s="8">
        <f>CLEANED!G19</f>
        <v>3548.82</v>
      </c>
      <c r="F21" s="8">
        <f>CLEANED!H19</f>
        <v>6544.61</v>
      </c>
      <c r="G21" s="9">
        <f>CLEANED!I19</f>
        <v>45731</v>
      </c>
      <c r="H21" s="7">
        <f t="shared" si="0"/>
        <v>56</v>
      </c>
      <c r="I21" s="6" t="str">
        <f t="shared" si="1"/>
        <v>🟠 Slow (31-60 Days)</v>
      </c>
      <c r="J21" s="8">
        <f t="shared" si="2"/>
        <v>1565029.62</v>
      </c>
      <c r="K21" s="8">
        <f>IF(OR(D21&lt;=0,N21="NEGATIVE QTY - DATA ERROR"),0,CLEANED!J19/D21)</f>
        <v>0.24943310657596371</v>
      </c>
      <c r="L21" s="6" t="str">
        <f>IF(N21="NEGATIVE QTY - DATA ERROR","Data Error",IF(D21&lt;=CLEANED!N19,"⚠️ Below Reorder Point - Restock Now",IF(AND(H21&gt;90,D21&gt;CLEANED!N19*2),"📦 Overstocked &amp; Dead","✅ Stock Level OK")))</f>
        <v>✅ Stock Level OK</v>
      </c>
      <c r="M21" s="6" t="str">
        <f>CLEANED!P19</f>
        <v>OK</v>
      </c>
      <c r="N21" s="6" t="str">
        <f>CLEANED!Q19</f>
        <v>OK</v>
      </c>
      <c r="O21" s="6" t="str">
        <f>CLEANED!R19</f>
        <v>OK</v>
      </c>
    </row>
    <row r="22" spans="1:15" hidden="1" x14ac:dyDescent="0.3">
      <c r="A22" s="4" t="str">
        <f>CLEANED!A20</f>
        <v>SKU-5033</v>
      </c>
      <c r="B22" s="6" t="str">
        <f>CLEANED!B20</f>
        <v>Water Filter Jug</v>
      </c>
      <c r="C22" s="6" t="str">
        <f>CLEANED!C20</f>
        <v>Home &amp; Kitchen</v>
      </c>
      <c r="D22" s="7">
        <f>CLEANED!F20</f>
        <v>585</v>
      </c>
      <c r="E22" s="8">
        <f>CLEANED!G20</f>
        <v>17655.89</v>
      </c>
      <c r="F22" s="8">
        <f>CLEANED!H20</f>
        <v>46675.83</v>
      </c>
      <c r="G22" s="9">
        <f>CLEANED!I20</f>
        <v>45740</v>
      </c>
      <c r="H22" s="7">
        <f t="shared" si="0"/>
        <v>47</v>
      </c>
      <c r="I22" s="6" t="str">
        <f t="shared" si="1"/>
        <v>🟠 Slow (31-60 Days)</v>
      </c>
      <c r="J22" s="8">
        <f t="shared" si="2"/>
        <v>10328695.65</v>
      </c>
      <c r="K22" s="8">
        <f>IF(OR(D22&lt;=0,N22="NEGATIVE QTY - DATA ERROR"),0,CLEANED!J20/D22)</f>
        <v>1.7094017094017096E-2</v>
      </c>
      <c r="L22" s="6" t="str">
        <f>IF(N22="NEGATIVE QTY - DATA ERROR","Data Error",IF(D22&lt;=CLEANED!N20,"⚠️ Below Reorder Point - Restock Now",IF(AND(H22&gt;90,D22&gt;CLEANED!N20*2),"📦 Overstocked &amp; Dead","✅ Stock Level OK")))</f>
        <v>✅ Stock Level OK</v>
      </c>
      <c r="M22" s="6" t="str">
        <f>CLEANED!P20</f>
        <v>OK</v>
      </c>
      <c r="N22" s="6" t="str">
        <f>CLEANED!Q20</f>
        <v>OK</v>
      </c>
      <c r="O22" s="6" t="str">
        <f>CLEANED!R20</f>
        <v>OK</v>
      </c>
    </row>
    <row r="23" spans="1:15" x14ac:dyDescent="0.3">
      <c r="A23" s="4" t="str">
        <f>CLEANED!A21</f>
        <v>SKU-5001</v>
      </c>
      <c r="B23" s="6" t="str">
        <f>CLEANED!B21</f>
        <v>Bluetooth Speaker</v>
      </c>
      <c r="C23" s="6" t="str">
        <f>CLEANED!C21</f>
        <v>Electronics</v>
      </c>
      <c r="D23" s="7">
        <f>CLEANED!F21</f>
        <v>14</v>
      </c>
      <c r="E23" s="8">
        <f>CLEANED!G21</f>
        <v>7638.43</v>
      </c>
      <c r="F23" s="8">
        <f>CLEANED!H21</f>
        <v>12124.94</v>
      </c>
      <c r="G23" s="9">
        <f>CLEANED!I21</f>
        <v>45404</v>
      </c>
      <c r="H23" s="7">
        <f t="shared" si="0"/>
        <v>383</v>
      </c>
      <c r="I23" s="6" t="str">
        <f t="shared" si="1"/>
        <v>🔴 Dead (90+ Days)</v>
      </c>
      <c r="J23" s="8">
        <f t="shared" si="2"/>
        <v>106938.02</v>
      </c>
      <c r="K23" s="8">
        <f>IF(OR(D23&lt;=0,N23="NEGATIVE QTY - DATA ERROR"),0,CLEANED!J21/D23)</f>
        <v>1.4285714285714286</v>
      </c>
      <c r="L23" s="6" t="str">
        <f>IF(N23="NEGATIVE QTY - DATA ERROR","Data Error",IF(D23&lt;=CLEANED!N21,"⚠️ Below Reorder Point - Restock Now",IF(AND(H23&gt;90,D23&gt;CLEANED!N21*2),"📦 Overstocked &amp; Dead","✅ Stock Level OK")))</f>
        <v>⚠️ Below Reorder Point - Restock Now</v>
      </c>
      <c r="M23" s="6" t="str">
        <f>CLEANED!P21</f>
        <v>OK</v>
      </c>
      <c r="N23" s="6" t="str">
        <f>CLEANED!Q21</f>
        <v>OK</v>
      </c>
      <c r="O23" s="6" t="str">
        <f>CLEANED!R21</f>
        <v>OK</v>
      </c>
    </row>
    <row r="24" spans="1:15" x14ac:dyDescent="0.3">
      <c r="A24" s="4" t="str">
        <f>CLEANED!A22</f>
        <v>SKU-5029</v>
      </c>
      <c r="B24" s="6" t="str">
        <f>CLEANED!B22</f>
        <v>Thermal Underwear</v>
      </c>
      <c r="C24" s="6" t="str">
        <f>CLEANED!C22</f>
        <v>Clothing</v>
      </c>
      <c r="D24" s="7">
        <f>CLEANED!F22</f>
        <v>132</v>
      </c>
      <c r="E24" s="8">
        <f>CLEANED!G22</f>
        <v>8442.2199999999993</v>
      </c>
      <c r="F24" s="8">
        <f>CLEANED!H22</f>
        <v>22467.7</v>
      </c>
      <c r="G24" s="9">
        <f>CLEANED!I22</f>
        <v>45418</v>
      </c>
      <c r="H24" s="7">
        <f t="shared" si="0"/>
        <v>369</v>
      </c>
      <c r="I24" s="6" t="str">
        <f t="shared" si="1"/>
        <v>🔴 Dead (90+ Days)</v>
      </c>
      <c r="J24" s="8">
        <f t="shared" si="2"/>
        <v>1114373.0399999998</v>
      </c>
      <c r="K24" s="8">
        <f>IF(OR(D24&lt;=0,N24="NEGATIVE QTY - DATA ERROR"),0,CLEANED!J22/D24)</f>
        <v>0.77272727272727271</v>
      </c>
      <c r="L24" s="6" t="str">
        <f>IF(N24="NEGATIVE QTY - DATA ERROR","Data Error",IF(D24&lt;=CLEANED!N22,"⚠️ Below Reorder Point - Restock Now",IF(AND(H24&gt;90,D24&gt;CLEANED!N22*2),"📦 Overstocked &amp; Dead","✅ Stock Level OK")))</f>
        <v>⚠️ Below Reorder Point - Restock Now</v>
      </c>
      <c r="M24" s="6" t="str">
        <f>CLEANED!P22</f>
        <v>OK</v>
      </c>
      <c r="N24" s="6" t="str">
        <f>CLEANED!Q22</f>
        <v>OK</v>
      </c>
      <c r="O24" s="6" t="str">
        <f>CLEANED!R22</f>
        <v>OK</v>
      </c>
    </row>
    <row r="25" spans="1:15" x14ac:dyDescent="0.3">
      <c r="A25" s="4" t="str">
        <f>CLEANED!A23</f>
        <v>SKU-5040</v>
      </c>
      <c r="B25" s="6" t="str">
        <f>CLEANED!B23</f>
        <v>Knife Set 5pc</v>
      </c>
      <c r="C25" s="6" t="str">
        <f>CLEANED!C23</f>
        <v>Home &amp; Kitchen</v>
      </c>
      <c r="D25" s="7">
        <f>CLEANED!F23</f>
        <v>510</v>
      </c>
      <c r="E25" s="8">
        <f>CLEANED!G23</f>
        <v>8871.11</v>
      </c>
      <c r="F25" s="8">
        <f>CLEANED!H23</f>
        <v>20228.12</v>
      </c>
      <c r="G25" s="9">
        <f>CLEANED!I23</f>
        <v>45475</v>
      </c>
      <c r="H25" s="7">
        <f t="shared" si="0"/>
        <v>312</v>
      </c>
      <c r="I25" s="6" t="str">
        <f t="shared" si="1"/>
        <v>🔴 Dead (90+ Days)</v>
      </c>
      <c r="J25" s="8">
        <f t="shared" si="2"/>
        <v>4524266.1000000006</v>
      </c>
      <c r="K25" s="8">
        <f>IF(OR(D25&lt;=0,N25="NEGATIVE QTY - DATA ERROR"),0,CLEANED!J23/D25)</f>
        <v>3.9215686274509803E-3</v>
      </c>
      <c r="L25" s="6" t="str">
        <f>IF(N25="NEGATIVE QTY - DATA ERROR","Data Error",IF(D25&lt;=CLEANED!N23,"⚠️ Below Reorder Point - Restock Now",IF(AND(H25&gt;90,D25&gt;CLEANED!N23*2),"📦 Overstocked &amp; Dead","✅ Stock Level OK")))</f>
        <v>📦 Overstocked &amp; Dead</v>
      </c>
      <c r="M25" s="6" t="str">
        <f>CLEANED!P23</f>
        <v>OK</v>
      </c>
      <c r="N25" s="6" t="str">
        <f>CLEANED!Q23</f>
        <v>OK</v>
      </c>
      <c r="O25" s="6" t="str">
        <f>CLEANED!R23</f>
        <v>OK</v>
      </c>
    </row>
    <row r="26" spans="1:15" x14ac:dyDescent="0.3">
      <c r="A26" s="4" t="str">
        <f>CLEANED!A24</f>
        <v>SKU-5016</v>
      </c>
      <c r="B26" s="6" t="str">
        <f>CLEANED!B24</f>
        <v>Women Kurta Embroidered</v>
      </c>
      <c r="C26" s="6" t="str">
        <f>CLEANED!C24</f>
        <v>Clothing</v>
      </c>
      <c r="D26" s="7">
        <f>CLEANED!F24</f>
        <v>600</v>
      </c>
      <c r="E26" s="8">
        <f>CLEANED!G24</f>
        <v>7357.39</v>
      </c>
      <c r="F26" s="8">
        <f>CLEANED!H24</f>
        <v>15281.7</v>
      </c>
      <c r="G26" s="9">
        <f>CLEANED!I24</f>
        <v>45563</v>
      </c>
      <c r="H26" s="7">
        <f t="shared" si="0"/>
        <v>224</v>
      </c>
      <c r="I26" s="6" t="str">
        <f t="shared" si="1"/>
        <v>🔴 Dead (90+ Days)</v>
      </c>
      <c r="J26" s="8">
        <f t="shared" si="2"/>
        <v>4414434</v>
      </c>
      <c r="K26" s="8">
        <f>IF(OR(D26&lt;=0,N26="NEGATIVE QTY - DATA ERROR"),0,CLEANED!J24/D26)</f>
        <v>0.13166666666666665</v>
      </c>
      <c r="L26" s="6" t="str">
        <f>IF(N26="NEGATIVE QTY - DATA ERROR","Data Error",IF(D26&lt;=CLEANED!N24,"⚠️ Below Reorder Point - Restock Now",IF(AND(H26&gt;90,D26&gt;CLEANED!N24*2),"📦 Overstocked &amp; Dead","✅ Stock Level OK")))</f>
        <v>📦 Overstocked &amp; Dead</v>
      </c>
      <c r="M26" s="6" t="str">
        <f>CLEANED!P24</f>
        <v>OK</v>
      </c>
      <c r="N26" s="6" t="str">
        <f>CLEANED!Q24</f>
        <v>OK</v>
      </c>
      <c r="O26" s="6" t="str">
        <f>CLEANED!R24</f>
        <v>OK</v>
      </c>
    </row>
    <row r="27" spans="1:15" x14ac:dyDescent="0.3">
      <c r="A27" s="4" t="str">
        <f>CLEANED!A25</f>
        <v>SKU-5015</v>
      </c>
      <c r="B27" s="6" t="str">
        <f>CLEANED!B25</f>
        <v>Men Polo Shirt</v>
      </c>
      <c r="C27" s="6" t="str">
        <f>CLEANED!C25</f>
        <v>Clothing</v>
      </c>
      <c r="D27" s="7">
        <f>CLEANED!F25</f>
        <v>329</v>
      </c>
      <c r="E27" s="8">
        <f>CLEANED!G25</f>
        <v>1193.93</v>
      </c>
      <c r="F27" s="8">
        <f>CLEANED!H25</f>
        <v>1459.47</v>
      </c>
      <c r="G27" s="9">
        <f>CLEANED!I25</f>
        <v>45684</v>
      </c>
      <c r="H27" s="7">
        <f t="shared" si="0"/>
        <v>103</v>
      </c>
      <c r="I27" s="6" t="str">
        <f t="shared" si="1"/>
        <v>🔴 Dead (90+ Days)</v>
      </c>
      <c r="J27" s="8">
        <f t="shared" si="2"/>
        <v>392802.97000000003</v>
      </c>
      <c r="K27" s="8">
        <f>IF(OR(D27&lt;=0,N27="NEGATIVE QTY - DATA ERROR"),0,CLEANED!J25/D27)</f>
        <v>0.22492401215805471</v>
      </c>
      <c r="L27" s="6" t="str">
        <f>IF(N27="NEGATIVE QTY - DATA ERROR","Data Error",IF(D27&lt;=CLEANED!N25,"⚠️ Below Reorder Point - Restock Now",IF(AND(H27&gt;90,D27&gt;CLEANED!N25*2),"📦 Overstocked &amp; Dead","✅ Stock Level OK")))</f>
        <v>✅ Stock Level OK</v>
      </c>
      <c r="M27" s="6" t="str">
        <f>CLEANED!P25</f>
        <v>OK</v>
      </c>
      <c r="N27" s="6" t="str">
        <f>CLEANED!Q25</f>
        <v>OK</v>
      </c>
      <c r="O27" s="6" t="str">
        <f>CLEANED!R25</f>
        <v>OK</v>
      </c>
    </row>
    <row r="28" spans="1:15" hidden="1" x14ac:dyDescent="0.3">
      <c r="A28" s="4" t="str">
        <f>CLEANED!A26</f>
        <v>SKU-5069</v>
      </c>
      <c r="B28" s="6" t="str">
        <f>CLEANED!B26</f>
        <v>Football Size 5 Official</v>
      </c>
      <c r="C28" s="6" t="str">
        <f>CLEANED!C26</f>
        <v>Sports &amp; Outdoor</v>
      </c>
      <c r="D28" s="7">
        <f>CLEANED!F26</f>
        <v>-9</v>
      </c>
      <c r="E28" s="8">
        <f>CLEANED!G26</f>
        <v>415.26</v>
      </c>
      <c r="F28" s="8">
        <f>CLEANED!H26</f>
        <v>631.08000000000004</v>
      </c>
      <c r="G28" s="9">
        <f>CLEANED!I26</f>
        <v>45770</v>
      </c>
      <c r="H28" s="7">
        <f t="shared" si="0"/>
        <v>17</v>
      </c>
      <c r="I28" s="6" t="str">
        <f t="shared" si="1"/>
        <v>🟢 Active (0-30 Days)</v>
      </c>
      <c r="J28" s="8">
        <f t="shared" si="2"/>
        <v>0</v>
      </c>
      <c r="K28" s="8">
        <f>IF(OR(D28&lt;=0,N28="NEGATIVE QTY - DATA ERROR"),0,CLEANED!J26/D28)</f>
        <v>0</v>
      </c>
      <c r="L28" s="6" t="str">
        <f>IF(N28="NEGATIVE QTY - DATA ERROR","Data Error",IF(D28&lt;=CLEANED!N26,"⚠️ Below Reorder Point - Restock Now",IF(AND(H28&gt;90,D28&gt;CLEANED!N26*2),"📦 Overstocked &amp; Dead","✅ Stock Level OK")))</f>
        <v>Data Error</v>
      </c>
      <c r="M28" s="6" t="str">
        <f>CLEANED!P26</f>
        <v>OK</v>
      </c>
      <c r="N28" s="6" t="str">
        <f>CLEANED!Q26</f>
        <v>NEGATIVE QTY - DATA ERROR</v>
      </c>
      <c r="O28" s="6" t="str">
        <f>CLEANED!R26</f>
        <v>OK</v>
      </c>
    </row>
    <row r="29" spans="1:15" hidden="1" x14ac:dyDescent="0.3">
      <c r="A29" s="4" t="str">
        <f>CLEANED!A27</f>
        <v>SKU-5056</v>
      </c>
      <c r="B29" s="6" t="str">
        <f>CLEANED!B27</f>
        <v>Beard Oil 50ml</v>
      </c>
      <c r="C29" s="6" t="str">
        <f>CLEANED!C27</f>
        <v>Health &amp; Beauty</v>
      </c>
      <c r="D29" s="7">
        <f>CLEANED!F27</f>
        <v>415</v>
      </c>
      <c r="E29" s="8">
        <f>CLEANED!G27</f>
        <v>1485.68</v>
      </c>
      <c r="F29" s="8">
        <f>CLEANED!H27</f>
        <v>2325.44</v>
      </c>
      <c r="G29" s="9">
        <f>CLEANED!I27</f>
        <v>45770</v>
      </c>
      <c r="H29" s="7">
        <f t="shared" si="0"/>
        <v>17</v>
      </c>
      <c r="I29" s="6" t="str">
        <f t="shared" si="1"/>
        <v>🟢 Active (0-30 Days)</v>
      </c>
      <c r="J29" s="8">
        <f t="shared" si="2"/>
        <v>616557.20000000007</v>
      </c>
      <c r="K29" s="8">
        <f>IF(OR(D29&lt;=0,N29="NEGATIVE QTY - DATA ERROR"),0,CLEANED!J27/D29)</f>
        <v>0.26265060240963856</v>
      </c>
      <c r="L29" s="6" t="str">
        <f>IF(N29="NEGATIVE QTY - DATA ERROR","Data Error",IF(D29&lt;=CLEANED!N27,"⚠️ Below Reorder Point - Restock Now",IF(AND(H29&gt;90,D29&gt;CLEANED!N27*2),"📦 Overstocked &amp; Dead","✅ Stock Level OK")))</f>
        <v>✅ Stock Level OK</v>
      </c>
      <c r="M29" s="6" t="str">
        <f>CLEANED!P27</f>
        <v>OK</v>
      </c>
      <c r="N29" s="6" t="str">
        <f>CLEANED!Q27</f>
        <v>OK</v>
      </c>
      <c r="O29" s="6" t="str">
        <f>CLEANED!R27</f>
        <v>OK</v>
      </c>
    </row>
    <row r="30" spans="1:15" hidden="1" x14ac:dyDescent="0.3">
      <c r="A30" s="4" t="str">
        <f>CLEANED!A28</f>
        <v>SKU-5062</v>
      </c>
      <c r="B30" s="6" t="str">
        <f>CLEANED!B28</f>
        <v>Dumbbell 5kg Pair</v>
      </c>
      <c r="C30" s="6" t="str">
        <f>CLEANED!C28</f>
        <v>Sports &amp; Outdoor</v>
      </c>
      <c r="D30" s="7">
        <f>CLEANED!F28</f>
        <v>187</v>
      </c>
      <c r="E30" s="8">
        <f>CLEANED!G28</f>
        <v>1758.88</v>
      </c>
      <c r="F30" s="8">
        <f>CLEANED!H28</f>
        <v>4178.6899999999996</v>
      </c>
      <c r="G30" s="9">
        <f>CLEANED!I28</f>
        <v>45710</v>
      </c>
      <c r="H30" s="7">
        <f t="shared" si="0"/>
        <v>77</v>
      </c>
      <c r="I30" s="6" t="str">
        <f t="shared" si="1"/>
        <v>🟡 At Risk (61-90 Days)</v>
      </c>
      <c r="J30" s="8">
        <f t="shared" si="2"/>
        <v>328910.56</v>
      </c>
      <c r="K30" s="8">
        <f>IF(OR(D30&lt;=0,N30="NEGATIVE QTY - DATA ERROR"),0,CLEANED!J28/D30)</f>
        <v>0.53475935828877008</v>
      </c>
      <c r="L30" s="6" t="str">
        <f>IF(N30="NEGATIVE QTY - DATA ERROR","Data Error",IF(D30&lt;=CLEANED!N28,"⚠️ Below Reorder Point - Restock Now",IF(AND(H30&gt;90,D30&gt;CLEANED!N28*2),"📦 Overstocked &amp; Dead","✅ Stock Level OK")))</f>
        <v>✅ Stock Level OK</v>
      </c>
      <c r="M30" s="6" t="str">
        <f>CLEANED!P28</f>
        <v>OK</v>
      </c>
      <c r="N30" s="6" t="str">
        <f>CLEANED!Q28</f>
        <v>OK</v>
      </c>
      <c r="O30" s="6" t="str">
        <f>CLEANED!R28</f>
        <v>OK</v>
      </c>
    </row>
    <row r="31" spans="1:15" x14ac:dyDescent="0.3">
      <c r="A31" s="4" t="str">
        <f>CLEANED!A29</f>
        <v>SKU-5071</v>
      </c>
      <c r="B31" s="6" t="str">
        <f>CLEANED!B29</f>
        <v>Skipping Counter</v>
      </c>
      <c r="C31" s="6" t="str">
        <f>CLEANED!C29</f>
        <v>Sports &amp; Outdoor</v>
      </c>
      <c r="D31" s="7">
        <f>CLEANED!F29</f>
        <v>569</v>
      </c>
      <c r="E31" s="8">
        <f>CLEANED!G29</f>
        <v>1322.43</v>
      </c>
      <c r="F31" s="8">
        <f>CLEANED!H29</f>
        <v>2887.62</v>
      </c>
      <c r="G31" s="9">
        <f>CLEANED!I29</f>
        <v>45608</v>
      </c>
      <c r="H31" s="7">
        <f t="shared" si="0"/>
        <v>179</v>
      </c>
      <c r="I31" s="6" t="str">
        <f t="shared" si="1"/>
        <v>🔴 Dead (90+ Days)</v>
      </c>
      <c r="J31" s="8">
        <f t="shared" si="2"/>
        <v>752462.67</v>
      </c>
      <c r="K31" s="8">
        <f>IF(OR(D31&lt;=0,N31="NEGATIVE QTY - DATA ERROR"),0,CLEANED!J29/D31)</f>
        <v>8.43585237258348E-2</v>
      </c>
      <c r="L31" s="6" t="str">
        <f>IF(N31="NEGATIVE QTY - DATA ERROR","Data Error",IF(D31&lt;=CLEANED!N29,"⚠️ Below Reorder Point - Restock Now",IF(AND(H31&gt;90,D31&gt;CLEANED!N29*2),"📦 Overstocked &amp; Dead","✅ Stock Level OK")))</f>
        <v>📦 Overstocked &amp; Dead</v>
      </c>
      <c r="M31" s="6" t="str">
        <f>CLEANED!P29</f>
        <v>OK</v>
      </c>
      <c r="N31" s="6" t="str">
        <f>CLEANED!Q29</f>
        <v>OK</v>
      </c>
      <c r="O31" s="6" t="str">
        <f>CLEANED!R29</f>
        <v>OK</v>
      </c>
    </row>
    <row r="32" spans="1:15" hidden="1" x14ac:dyDescent="0.3">
      <c r="A32" s="4" t="str">
        <f>CLEANED!A30</f>
        <v>SKU-5047</v>
      </c>
      <c r="B32" s="6" t="str">
        <f>CLEANED!B30</f>
        <v>Hair Growth Oil</v>
      </c>
      <c r="C32" s="6" t="str">
        <f>CLEANED!C30</f>
        <v>Health &amp; Beauty</v>
      </c>
      <c r="D32" s="7">
        <f>CLEANED!F30</f>
        <v>69</v>
      </c>
      <c r="E32" s="8">
        <f>CLEANED!G30</f>
        <v>2809.46</v>
      </c>
      <c r="F32" s="8">
        <f>CLEANED!H30</f>
        <v>3817.94</v>
      </c>
      <c r="G32" s="9">
        <f>CLEANED!I30</f>
        <v>45724</v>
      </c>
      <c r="H32" s="7">
        <f t="shared" si="0"/>
        <v>63</v>
      </c>
      <c r="I32" s="6" t="str">
        <f t="shared" si="1"/>
        <v>🟡 At Risk (61-90 Days)</v>
      </c>
      <c r="J32" s="8">
        <f t="shared" si="2"/>
        <v>193852.74</v>
      </c>
      <c r="K32" s="8">
        <f>IF(OR(D32&lt;=0,N32="NEGATIVE QTY - DATA ERROR"),0,CLEANED!J30/D32)</f>
        <v>0.56521739130434778</v>
      </c>
      <c r="L32" s="6" t="str">
        <f>IF(N32="NEGATIVE QTY - DATA ERROR","Data Error",IF(D32&lt;=CLEANED!N30,"⚠️ Below Reorder Point - Restock Now",IF(AND(H32&gt;90,D32&gt;CLEANED!N30*2),"📦 Overstocked &amp; Dead","✅ Stock Level OK")))</f>
        <v>⚠️ Below Reorder Point - Restock Now</v>
      </c>
      <c r="M32" s="6" t="str">
        <f>CLEANED!P30</f>
        <v>OK</v>
      </c>
      <c r="N32" s="6" t="str">
        <f>CLEANED!Q30</f>
        <v>OK</v>
      </c>
      <c r="O32" s="6" t="str">
        <f>CLEANED!R30</f>
        <v>OK</v>
      </c>
    </row>
    <row r="33" spans="1:15" hidden="1" x14ac:dyDescent="0.3">
      <c r="A33" s="4" t="str">
        <f>CLEANED!A31</f>
        <v>SKU-5041</v>
      </c>
      <c r="B33" s="6" t="str">
        <f>CLEANED!B31</f>
        <v>Food Storage Containers</v>
      </c>
      <c r="C33" s="6" t="str">
        <f>CLEANED!C31</f>
        <v>Home &amp; Kitchen</v>
      </c>
      <c r="D33" s="7">
        <f>CLEANED!F31</f>
        <v>265</v>
      </c>
      <c r="E33" s="8">
        <f>CLEANED!G31</f>
        <v>6054.62</v>
      </c>
      <c r="F33" s="8">
        <f>CLEANED!H31</f>
        <v>9536.8700000000008</v>
      </c>
      <c r="G33" s="9">
        <f>CLEANED!I31</f>
        <v>45757</v>
      </c>
      <c r="H33" s="7">
        <f t="shared" si="0"/>
        <v>30</v>
      </c>
      <c r="I33" s="6" t="str">
        <f t="shared" si="1"/>
        <v>🟢 Active (0-30 Days)</v>
      </c>
      <c r="J33" s="8">
        <f t="shared" si="2"/>
        <v>1604474.3</v>
      </c>
      <c r="K33" s="8">
        <f>IF(OR(D33&lt;=0,N33="NEGATIVE QTY - DATA ERROR"),0,CLEANED!J31/D33)</f>
        <v>0.3471698113207547</v>
      </c>
      <c r="L33" s="6" t="str">
        <f>IF(N33="NEGATIVE QTY - DATA ERROR","Data Error",IF(D33&lt;=CLEANED!N31,"⚠️ Below Reorder Point - Restock Now",IF(AND(H33&gt;90,D33&gt;CLEANED!N31*2),"📦 Overstocked &amp; Dead","✅ Stock Level OK")))</f>
        <v>✅ Stock Level OK</v>
      </c>
      <c r="M33" s="6" t="str">
        <f>CLEANED!P31</f>
        <v>OK</v>
      </c>
      <c r="N33" s="6" t="str">
        <f>CLEANED!Q31</f>
        <v>OK</v>
      </c>
      <c r="O33" s="6" t="str">
        <f>CLEANED!R31</f>
        <v>OK</v>
      </c>
    </row>
    <row r="34" spans="1:15" x14ac:dyDescent="0.3">
      <c r="A34" s="4" t="str">
        <f>CLEANED!A32</f>
        <v>SKU-5022</v>
      </c>
      <c r="B34" s="6" t="str">
        <f>CLEANED!B32</f>
        <v>Formal Trousers</v>
      </c>
      <c r="C34" s="6" t="str">
        <f>CLEANED!C32</f>
        <v>Clothing</v>
      </c>
      <c r="D34" s="7">
        <f>CLEANED!F32</f>
        <v>262</v>
      </c>
      <c r="E34" s="8">
        <f>CLEANED!G32</f>
        <v>16765.060000000001</v>
      </c>
      <c r="F34" s="8">
        <f>CLEANED!H32</f>
        <v>43113.49</v>
      </c>
      <c r="G34" s="9">
        <f>CLEANED!I32</f>
        <v>45366</v>
      </c>
      <c r="H34" s="7">
        <f t="shared" si="0"/>
        <v>421</v>
      </c>
      <c r="I34" s="6" t="str">
        <f t="shared" si="1"/>
        <v>🔴 Dead (90+ Days)</v>
      </c>
      <c r="J34" s="8">
        <f t="shared" si="2"/>
        <v>4392445.7200000007</v>
      </c>
      <c r="K34" s="8">
        <f>IF(OR(D34&lt;=0,N34="NEGATIVE QTY - DATA ERROR"),0,CLEANED!J32/D34)</f>
        <v>0.38167938931297712</v>
      </c>
      <c r="L34" s="6" t="str">
        <f>IF(N34="NEGATIVE QTY - DATA ERROR","Data Error",IF(D34&lt;=CLEANED!N32,"⚠️ Below Reorder Point - Restock Now",IF(AND(H34&gt;90,D34&gt;CLEANED!N32*2),"📦 Overstocked &amp; Dead","✅ Stock Level OK")))</f>
        <v>📦 Overstocked &amp; Dead</v>
      </c>
      <c r="M34" s="6" t="str">
        <f>CLEANED!P32</f>
        <v>OK</v>
      </c>
      <c r="N34" s="6" t="str">
        <f>CLEANED!Q32</f>
        <v>OK</v>
      </c>
      <c r="O34" s="6" t="str">
        <f>CLEANED!R32</f>
        <v>OK</v>
      </c>
    </row>
    <row r="35" spans="1:15" hidden="1" x14ac:dyDescent="0.3">
      <c r="A35" s="4" t="str">
        <f>CLEANED!A33</f>
        <v>SKU-5007</v>
      </c>
      <c r="B35" s="6" t="str">
        <f>CLEANED!B33</f>
        <v>Gaming Mouse</v>
      </c>
      <c r="C35" s="6" t="str">
        <f>CLEANED!C33</f>
        <v>Electronics</v>
      </c>
      <c r="D35" s="7">
        <f>CLEANED!F33</f>
        <v>356</v>
      </c>
      <c r="E35" s="8">
        <f>CLEANED!G33</f>
        <v>15943.47</v>
      </c>
      <c r="F35" s="8">
        <f>CLEANED!H33</f>
        <v>38443.629999999997</v>
      </c>
      <c r="G35" s="9">
        <f>CLEANED!I33</f>
        <v>45753</v>
      </c>
      <c r="H35" s="7">
        <f t="shared" si="0"/>
        <v>34</v>
      </c>
      <c r="I35" s="6" t="str">
        <f t="shared" si="1"/>
        <v>🟠 Slow (31-60 Days)</v>
      </c>
      <c r="J35" s="8">
        <f t="shared" si="2"/>
        <v>5675875.3199999994</v>
      </c>
      <c r="K35" s="8">
        <f>IF(OR(D35&lt;=0,N35="NEGATIVE QTY - DATA ERROR"),0,CLEANED!J33/D35)</f>
        <v>0.1544943820224719</v>
      </c>
      <c r="L35" s="6" t="str">
        <f>IF(N35="NEGATIVE QTY - DATA ERROR","Data Error",IF(D35&lt;=CLEANED!N33,"⚠️ Below Reorder Point - Restock Now",IF(AND(H35&gt;90,D35&gt;CLEANED!N33*2),"📦 Overstocked &amp; Dead","✅ Stock Level OK")))</f>
        <v>✅ Stock Level OK</v>
      </c>
      <c r="M35" s="6" t="str">
        <f>CLEANED!P33</f>
        <v>OK</v>
      </c>
      <c r="N35" s="6" t="str">
        <f>CLEANED!Q33</f>
        <v>OK</v>
      </c>
      <c r="O35" s="6" t="str">
        <f>CLEANED!R33</f>
        <v>OK</v>
      </c>
    </row>
    <row r="36" spans="1:15" x14ac:dyDescent="0.3">
      <c r="A36" s="4" t="str">
        <f>CLEANED!A34</f>
        <v>SKU-5032</v>
      </c>
      <c r="B36" s="6" t="str">
        <f>CLEANED!B34</f>
        <v>Blender 600W</v>
      </c>
      <c r="C36" s="6" t="str">
        <f>CLEANED!C34</f>
        <v>Home &amp; Kitchen</v>
      </c>
      <c r="D36" s="7">
        <f>CLEANED!F34</f>
        <v>437</v>
      </c>
      <c r="E36" s="8">
        <f>CLEANED!G34</f>
        <v>5480.24</v>
      </c>
      <c r="F36" s="8">
        <f>CLEANED!H34</f>
        <v>14347.04</v>
      </c>
      <c r="G36" s="9">
        <f>CLEANED!I34</f>
        <v>45503</v>
      </c>
      <c r="H36" s="7">
        <f t="shared" si="0"/>
        <v>284</v>
      </c>
      <c r="I36" s="6" t="str">
        <f t="shared" si="1"/>
        <v>🔴 Dead (90+ Days)</v>
      </c>
      <c r="J36" s="8">
        <f t="shared" si="2"/>
        <v>2394864.88</v>
      </c>
      <c r="K36" s="8">
        <f>IF(OR(D36&lt;=0,N36="NEGATIVE QTY - DATA ERROR"),0,CLEANED!J34/D36)</f>
        <v>0.21510297482837529</v>
      </c>
      <c r="L36" s="6" t="str">
        <f>IF(N36="NEGATIVE QTY - DATA ERROR","Data Error",IF(D36&lt;=CLEANED!N34,"⚠️ Below Reorder Point - Restock Now",IF(AND(H36&gt;90,D36&gt;CLEANED!N34*2),"📦 Overstocked &amp; Dead","✅ Stock Level OK")))</f>
        <v>📦 Overstocked &amp; Dead</v>
      </c>
      <c r="M36" s="6" t="str">
        <f>CLEANED!P34</f>
        <v>OK</v>
      </c>
      <c r="N36" s="6" t="str">
        <f>CLEANED!Q34</f>
        <v>OK</v>
      </c>
      <c r="O36" s="6" t="str">
        <f>CLEANED!R34</f>
        <v>OK</v>
      </c>
    </row>
    <row r="37" spans="1:15" hidden="1" x14ac:dyDescent="0.3">
      <c r="A37" s="4" t="str">
        <f>CLEANED!A35</f>
        <v>SKU-5000</v>
      </c>
      <c r="B37" s="6" t="str">
        <f>CLEANED!B35</f>
        <v>Smart Plug 4-pack</v>
      </c>
      <c r="C37" s="6" t="str">
        <f>CLEANED!C35</f>
        <v>Electronics</v>
      </c>
      <c r="D37" s="7">
        <f>CLEANED!F35</f>
        <v>263</v>
      </c>
      <c r="E37" s="8">
        <f>CLEANED!G35</f>
        <v>8157.75</v>
      </c>
      <c r="F37" s="8">
        <f>CLEANED!H35</f>
        <v>12954.15</v>
      </c>
      <c r="G37" s="9">
        <f>CLEANED!I35</f>
        <v>43831</v>
      </c>
      <c r="H37" s="7" t="str">
        <f t="shared" si="0"/>
        <v>No Sale Record</v>
      </c>
      <c r="I37" s="6" t="str">
        <f t="shared" si="1"/>
        <v>🔴 Dead - No Sale</v>
      </c>
      <c r="J37" s="8">
        <f t="shared" si="2"/>
        <v>2145488.25</v>
      </c>
      <c r="K37" s="8">
        <f>IF(OR(D37&lt;=0,N37="NEGATIVE QTY - DATA ERROR"),0,CLEANED!J35/D37)</f>
        <v>3.4220532319391636E-2</v>
      </c>
      <c r="L37" s="6" t="str">
        <f>IF(N37="NEGATIVE QTY - DATA ERROR","Data Error",IF(D37&lt;=CLEANED!N35,"⚠️ Below Reorder Point - Restock Now",IF(AND(H37&gt;90,D37&gt;CLEANED!N35*2),"📦 Overstocked &amp; Dead","✅ Stock Level OK")))</f>
        <v>📦 Overstocked &amp; Dead</v>
      </c>
      <c r="M37" s="6" t="str">
        <f>CLEANED!P35</f>
        <v>NO SALE RECORDED</v>
      </c>
      <c r="N37" s="6" t="str">
        <f>CLEANED!Q35</f>
        <v>OK</v>
      </c>
      <c r="O37" s="6" t="str">
        <f>CLEANED!R35</f>
        <v>OK</v>
      </c>
    </row>
    <row r="38" spans="1:15" hidden="1" x14ac:dyDescent="0.3">
      <c r="A38" s="4" t="str">
        <f>CLEANED!A36</f>
        <v>SKU-5026</v>
      </c>
      <c r="B38" s="6" t="str">
        <f>CLEANED!B36</f>
        <v>Baseball Cap</v>
      </c>
      <c r="C38" s="6" t="str">
        <f>CLEANED!C36</f>
        <v>Clothing</v>
      </c>
      <c r="D38" s="7">
        <f>CLEANED!F36</f>
        <v>396</v>
      </c>
      <c r="E38" s="8">
        <f>CLEANED!G36</f>
        <v>10046.26</v>
      </c>
      <c r="F38" s="8">
        <f>CLEANED!H36</f>
        <v>22474.3</v>
      </c>
      <c r="G38" s="9">
        <f>CLEANED!I36</f>
        <v>45705</v>
      </c>
      <c r="H38" s="7">
        <f t="shared" si="0"/>
        <v>82</v>
      </c>
      <c r="I38" s="6" t="str">
        <f t="shared" si="1"/>
        <v>🟡 At Risk (61-90 Days)</v>
      </c>
      <c r="J38" s="8">
        <f t="shared" si="2"/>
        <v>3978318.96</v>
      </c>
      <c r="K38" s="8">
        <f>IF(OR(D38&lt;=0,N38="NEGATIVE QTY - DATA ERROR"),0,CLEANED!J36/D38)</f>
        <v>0.29040404040404039</v>
      </c>
      <c r="L38" s="6" t="str">
        <f>IF(N38="NEGATIVE QTY - DATA ERROR","Data Error",IF(D38&lt;=CLEANED!N36,"⚠️ Below Reorder Point - Restock Now",IF(AND(H38&gt;90,D38&gt;CLEANED!N36*2),"📦 Overstocked &amp; Dead","✅ Stock Level OK")))</f>
        <v>✅ Stock Level OK</v>
      </c>
      <c r="M38" s="6" t="str">
        <f>CLEANED!P36</f>
        <v>OK</v>
      </c>
      <c r="N38" s="6" t="str">
        <f>CLEANED!Q36</f>
        <v>OK</v>
      </c>
      <c r="O38" s="6" t="str">
        <f>CLEANED!R36</f>
        <v>OK</v>
      </c>
    </row>
    <row r="39" spans="1:15" hidden="1" x14ac:dyDescent="0.3">
      <c r="A39" s="4" t="str">
        <f>CLEANED!A37</f>
        <v>SKU-5063</v>
      </c>
      <c r="B39" s="6" t="str">
        <f>CLEANED!B37</f>
        <v>Speed Jump Rope</v>
      </c>
      <c r="C39" s="6" t="str">
        <f>CLEANED!C37</f>
        <v>Sports &amp; Outdoor</v>
      </c>
      <c r="D39" s="7">
        <f>CLEANED!F37</f>
        <v>239</v>
      </c>
      <c r="E39" s="8">
        <f>CLEANED!G37</f>
        <v>2205.7800000000002</v>
      </c>
      <c r="F39" s="8">
        <f>CLEANED!H37</f>
        <v>2992.08</v>
      </c>
      <c r="G39" s="9">
        <f>CLEANED!I37</f>
        <v>45749</v>
      </c>
      <c r="H39" s="7">
        <f t="shared" si="0"/>
        <v>38</v>
      </c>
      <c r="I39" s="6" t="str">
        <f t="shared" si="1"/>
        <v>🟠 Slow (31-60 Days)</v>
      </c>
      <c r="J39" s="8">
        <f t="shared" si="2"/>
        <v>527181.42000000004</v>
      </c>
      <c r="K39" s="8">
        <f>IF(OR(D39&lt;=0,N39="NEGATIVE QTY - DATA ERROR"),0,CLEANED!J37/D39)</f>
        <v>0.38493723849372385</v>
      </c>
      <c r="L39" s="6" t="str">
        <f>IF(N39="NEGATIVE QTY - DATA ERROR","Data Error",IF(D39&lt;=CLEANED!N37,"⚠️ Below Reorder Point - Restock Now",IF(AND(H39&gt;90,D39&gt;CLEANED!N37*2),"📦 Overstocked &amp; Dead","✅ Stock Level OK")))</f>
        <v>✅ Stock Level OK</v>
      </c>
      <c r="M39" s="6" t="str">
        <f>CLEANED!P37</f>
        <v>OK</v>
      </c>
      <c r="N39" s="6" t="str">
        <f>CLEANED!Q37</f>
        <v>OK</v>
      </c>
      <c r="O39" s="6" t="str">
        <f>CLEANED!R37</f>
        <v>OK</v>
      </c>
    </row>
    <row r="40" spans="1:15" hidden="1" x14ac:dyDescent="0.3">
      <c r="A40" s="4" t="str">
        <f>CLEANED!A38</f>
        <v>SKU-5054</v>
      </c>
      <c r="B40" s="6" t="str">
        <f>CLEANED!B38</f>
        <v>Lip Balm SPF Pack</v>
      </c>
      <c r="C40" s="6" t="str">
        <f>CLEANED!C38</f>
        <v>Health &amp; Beauty</v>
      </c>
      <c r="D40" s="7">
        <f>CLEANED!F38</f>
        <v>337</v>
      </c>
      <c r="E40" s="8">
        <f>CLEANED!G38</f>
        <v>6084.05</v>
      </c>
      <c r="F40" s="8">
        <f>CLEANED!H38</f>
        <v>10669.68</v>
      </c>
      <c r="G40" s="9">
        <f>CLEANED!I38</f>
        <v>45733</v>
      </c>
      <c r="H40" s="7">
        <f t="shared" si="0"/>
        <v>54</v>
      </c>
      <c r="I40" s="6" t="str">
        <f t="shared" si="1"/>
        <v>🟠 Slow (31-60 Days)</v>
      </c>
      <c r="J40" s="8">
        <f t="shared" si="2"/>
        <v>2050324.85</v>
      </c>
      <c r="K40" s="8">
        <f>IF(OR(D40&lt;=0,N40="NEGATIVE QTY - DATA ERROR"),0,CLEANED!J38/D40)</f>
        <v>0.26409495548961426</v>
      </c>
      <c r="L40" s="6" t="str">
        <f>IF(N40="NEGATIVE QTY - DATA ERROR","Data Error",IF(D40&lt;=CLEANED!N38,"⚠️ Below Reorder Point - Restock Now",IF(AND(H40&gt;90,D40&gt;CLEANED!N38*2),"📦 Overstocked &amp; Dead","✅ Stock Level OK")))</f>
        <v>✅ Stock Level OK</v>
      </c>
      <c r="M40" s="6" t="str">
        <f>CLEANED!P38</f>
        <v>OK</v>
      </c>
      <c r="N40" s="6" t="str">
        <f>CLEANED!Q38</f>
        <v>OK</v>
      </c>
      <c r="O40" s="6" t="str">
        <f>CLEANED!R38</f>
        <v>OK</v>
      </c>
    </row>
    <row r="41" spans="1:15" x14ac:dyDescent="0.3">
      <c r="A41" s="4" t="str">
        <f>CLEANED!A39</f>
        <v>SKU-5031</v>
      </c>
      <c r="B41" s="6" t="str">
        <f>CLEANED!B39</f>
        <v>Non-Stick Pan Set 3pc</v>
      </c>
      <c r="C41" s="6" t="str">
        <f>CLEANED!C39</f>
        <v>Home &amp; Kitchen</v>
      </c>
      <c r="D41" s="7">
        <f>CLEANED!F39</f>
        <v>425</v>
      </c>
      <c r="E41" s="8">
        <f>CLEANED!G39</f>
        <v>12537</v>
      </c>
      <c r="F41" s="8">
        <f>CLEANED!H39</f>
        <v>15394.24</v>
      </c>
      <c r="G41" s="9">
        <f>CLEANED!I39</f>
        <v>45487</v>
      </c>
      <c r="H41" s="7">
        <f t="shared" si="0"/>
        <v>300</v>
      </c>
      <c r="I41" s="6" t="str">
        <f t="shared" si="1"/>
        <v>🔴 Dead (90+ Days)</v>
      </c>
      <c r="J41" s="8">
        <f t="shared" si="2"/>
        <v>5328225</v>
      </c>
      <c r="K41" s="8">
        <f>IF(OR(D41&lt;=0,N41="NEGATIVE QTY - DATA ERROR"),0,CLEANED!J39/D41)</f>
        <v>0.13882352941176471</v>
      </c>
      <c r="L41" s="6" t="str">
        <f>IF(N41="NEGATIVE QTY - DATA ERROR","Data Error",IF(D41&lt;=CLEANED!N39,"⚠️ Below Reorder Point - Restock Now",IF(AND(H41&gt;90,D41&gt;CLEANED!N39*2),"📦 Overstocked &amp; Dead","✅ Stock Level OK")))</f>
        <v>📦 Overstocked &amp; Dead</v>
      </c>
      <c r="M41" s="6" t="str">
        <f>CLEANED!P39</f>
        <v>OK</v>
      </c>
      <c r="N41" s="6" t="str">
        <f>CLEANED!Q39</f>
        <v>OK</v>
      </c>
      <c r="O41" s="6" t="str">
        <f>CLEANED!R39</f>
        <v>OK</v>
      </c>
    </row>
    <row r="42" spans="1:15" hidden="1" x14ac:dyDescent="0.3">
      <c r="A42" s="4" t="str">
        <f>CLEANED!A40</f>
        <v>SKU-5066</v>
      </c>
      <c r="B42" s="6" t="str">
        <f>CLEANED!B40</f>
        <v>Running Shoes Size 42</v>
      </c>
      <c r="C42" s="6" t="str">
        <f>CLEANED!C40</f>
        <v>Sports &amp; Outdoor</v>
      </c>
      <c r="D42" s="7">
        <f>CLEANED!F40</f>
        <v>294</v>
      </c>
      <c r="E42" s="8">
        <f>CLEANED!G40</f>
        <v>15031.42</v>
      </c>
      <c r="F42" s="8">
        <f>CLEANED!H40</f>
        <v>40548.9</v>
      </c>
      <c r="G42" s="9">
        <f>CLEANED!I40</f>
        <v>45711</v>
      </c>
      <c r="H42" s="7">
        <f t="shared" si="0"/>
        <v>76</v>
      </c>
      <c r="I42" s="6" t="str">
        <f t="shared" si="1"/>
        <v>🟡 At Risk (61-90 Days)</v>
      </c>
      <c r="J42" s="8">
        <f t="shared" si="2"/>
        <v>4419237.4800000004</v>
      </c>
      <c r="K42" s="8">
        <f>IF(OR(D42&lt;=0,N42="NEGATIVE QTY - DATA ERROR"),0,CLEANED!J40/D42)</f>
        <v>0.1598639455782313</v>
      </c>
      <c r="L42" s="6" t="str">
        <f>IF(N42="NEGATIVE QTY - DATA ERROR","Data Error",IF(D42&lt;=CLEANED!N40,"⚠️ Below Reorder Point - Restock Now",IF(AND(H42&gt;90,D42&gt;CLEANED!N40*2),"📦 Overstocked &amp; Dead","✅ Stock Level OK")))</f>
        <v>✅ Stock Level OK</v>
      </c>
      <c r="M42" s="6" t="str">
        <f>CLEANED!P40</f>
        <v>OK</v>
      </c>
      <c r="N42" s="6" t="str">
        <f>CLEANED!Q40</f>
        <v>OK</v>
      </c>
      <c r="O42" s="6" t="str">
        <f>CLEANED!R40</f>
        <v>OK</v>
      </c>
    </row>
    <row r="43" spans="1:15" hidden="1" x14ac:dyDescent="0.3">
      <c r="A43" s="4" t="str">
        <f>CLEANED!A41</f>
        <v>SKU-5042</v>
      </c>
      <c r="B43" s="6" t="str">
        <f>CLEANED!B41</f>
        <v>Induction Cooker</v>
      </c>
      <c r="C43" s="6" t="str">
        <f>CLEANED!C41</f>
        <v>Home &amp; Kitchen</v>
      </c>
      <c r="D43" s="7">
        <f>CLEANED!F41</f>
        <v>206</v>
      </c>
      <c r="E43" s="8">
        <f>CLEANED!G41</f>
        <v>9514.77</v>
      </c>
      <c r="F43" s="8">
        <f>CLEANED!H41</f>
        <v>12263.43</v>
      </c>
      <c r="G43" s="9">
        <f>CLEANED!I41</f>
        <v>45750</v>
      </c>
      <c r="H43" s="7">
        <f t="shared" si="0"/>
        <v>37</v>
      </c>
      <c r="I43" s="6" t="str">
        <f t="shared" si="1"/>
        <v>🟠 Slow (31-60 Days)</v>
      </c>
      <c r="J43" s="8">
        <f t="shared" si="2"/>
        <v>1960042.62</v>
      </c>
      <c r="K43" s="8">
        <f>IF(OR(D43&lt;=0,N43="NEGATIVE QTY - DATA ERROR"),0,CLEANED!J41/D43)</f>
        <v>0.22330097087378642</v>
      </c>
      <c r="L43" s="6" t="str">
        <f>IF(N43="NEGATIVE QTY - DATA ERROR","Data Error",IF(D43&lt;=CLEANED!N41,"⚠️ Below Reorder Point - Restock Now",IF(AND(H43&gt;90,D43&gt;CLEANED!N41*2),"📦 Overstocked &amp; Dead","✅ Stock Level OK")))</f>
        <v>✅ Stock Level OK</v>
      </c>
      <c r="M43" s="6" t="str">
        <f>CLEANED!P41</f>
        <v>OK</v>
      </c>
      <c r="N43" s="6" t="str">
        <f>CLEANED!Q41</f>
        <v>OK</v>
      </c>
      <c r="O43" s="6" t="str">
        <f>CLEANED!R41</f>
        <v>OK</v>
      </c>
    </row>
    <row r="44" spans="1:15" x14ac:dyDescent="0.3">
      <c r="A44" s="4" t="str">
        <f>CLEANED!A42</f>
        <v>SKU-5028</v>
      </c>
      <c r="B44" s="6" t="str">
        <f>CLEANED!B42</f>
        <v>Gym Shorts</v>
      </c>
      <c r="C44" s="6" t="str">
        <f>CLEANED!C42</f>
        <v>Clothing</v>
      </c>
      <c r="D44" s="7">
        <f>CLEANED!F42</f>
        <v>597</v>
      </c>
      <c r="E44" s="8">
        <f>CLEANED!G42</f>
        <v>11061.24</v>
      </c>
      <c r="F44" s="8">
        <f>CLEANED!H42</f>
        <v>20851.53</v>
      </c>
      <c r="G44" s="9">
        <f>CLEANED!I42</f>
        <v>45440</v>
      </c>
      <c r="H44" s="7">
        <f t="shared" si="0"/>
        <v>347</v>
      </c>
      <c r="I44" s="6" t="str">
        <f t="shared" si="1"/>
        <v>🔴 Dead (90+ Days)</v>
      </c>
      <c r="J44" s="8">
        <f t="shared" si="2"/>
        <v>6603560.2800000003</v>
      </c>
      <c r="K44" s="8">
        <f>IF(OR(D44&lt;=0,N44="NEGATIVE QTY - DATA ERROR"),0,CLEANED!J42/D44)</f>
        <v>0.1490787269681742</v>
      </c>
      <c r="L44" s="6" t="str">
        <f>IF(N44="NEGATIVE QTY - DATA ERROR","Data Error",IF(D44&lt;=CLEANED!N42,"⚠️ Below Reorder Point - Restock Now",IF(AND(H44&gt;90,D44&gt;CLEANED!N42*2),"📦 Overstocked &amp; Dead","✅ Stock Level OK")))</f>
        <v>📦 Overstocked &amp; Dead</v>
      </c>
      <c r="M44" s="6" t="str">
        <f>CLEANED!P42</f>
        <v>OK</v>
      </c>
      <c r="N44" s="6" t="str">
        <f>CLEANED!Q42</f>
        <v>OK</v>
      </c>
      <c r="O44" s="6" t="str">
        <f>CLEANED!R42</f>
        <v>OK</v>
      </c>
    </row>
    <row r="45" spans="1:15" x14ac:dyDescent="0.3">
      <c r="A45" s="4" t="str">
        <f>CLEANED!A43</f>
        <v>SKU-5017</v>
      </c>
      <c r="B45" s="6" t="str">
        <f>CLEANED!B43</f>
        <v>Slim Denim Jeans</v>
      </c>
      <c r="C45" s="6" t="str">
        <f>CLEANED!C43</f>
        <v>Clothing</v>
      </c>
      <c r="D45" s="7">
        <f>CLEANED!F43</f>
        <v>-20</v>
      </c>
      <c r="E45" s="8">
        <f>CLEANED!G43</f>
        <v>11672.19</v>
      </c>
      <c r="F45" s="8">
        <f>CLEANED!H43</f>
        <v>31290.23</v>
      </c>
      <c r="G45" s="9">
        <f>CLEANED!I43</f>
        <v>45693</v>
      </c>
      <c r="H45" s="7">
        <f t="shared" si="0"/>
        <v>94</v>
      </c>
      <c r="I45" s="6" t="str">
        <f t="shared" si="1"/>
        <v>🔴 Dead (90+ Days)</v>
      </c>
      <c r="J45" s="8">
        <f t="shared" si="2"/>
        <v>0</v>
      </c>
      <c r="K45" s="8">
        <f>IF(OR(D45&lt;=0,N45="NEGATIVE QTY - DATA ERROR"),0,CLEANED!J43/D45)</f>
        <v>0</v>
      </c>
      <c r="L45" s="6" t="str">
        <f>IF(N45="NEGATIVE QTY - DATA ERROR","Data Error",IF(D45&lt;=CLEANED!N43,"⚠️ Below Reorder Point - Restock Now",IF(AND(H45&gt;90,D45&gt;CLEANED!N43*2),"📦 Overstocked &amp; Dead","✅ Stock Level OK")))</f>
        <v>Data Error</v>
      </c>
      <c r="M45" s="6" t="str">
        <f>CLEANED!P43</f>
        <v>OK</v>
      </c>
      <c r="N45" s="6" t="str">
        <f>CLEANED!Q43</f>
        <v>NEGATIVE QTY - DATA ERROR</v>
      </c>
      <c r="O45" s="6" t="str">
        <f>CLEANED!R43</f>
        <v>OK</v>
      </c>
    </row>
    <row r="46" spans="1:15" x14ac:dyDescent="0.3">
      <c r="A46" s="4" t="str">
        <f>CLEANED!A44</f>
        <v>SKU-5064</v>
      </c>
      <c r="B46" s="6" t="str">
        <f>CLEANED!B44</f>
        <v>Water Bottle 1L Steel</v>
      </c>
      <c r="C46" s="6" t="str">
        <f>CLEANED!C44</f>
        <v>Sports &amp; Outdoor</v>
      </c>
      <c r="D46" s="7">
        <f>CLEANED!F44</f>
        <v>388</v>
      </c>
      <c r="E46" s="8">
        <f>CLEANED!G44</f>
        <v>12159.99</v>
      </c>
      <c r="F46" s="8">
        <f>CLEANED!H44</f>
        <v>25561.040000000001</v>
      </c>
      <c r="G46" s="9">
        <f>CLEANED!I44</f>
        <v>45495</v>
      </c>
      <c r="H46" s="7">
        <f t="shared" si="0"/>
        <v>292</v>
      </c>
      <c r="I46" s="6" t="str">
        <f t="shared" si="1"/>
        <v>🔴 Dead (90+ Days)</v>
      </c>
      <c r="J46" s="8">
        <f t="shared" si="2"/>
        <v>4718076.12</v>
      </c>
      <c r="K46" s="8">
        <f>IF(OR(D46&lt;=0,N46="NEGATIVE QTY - DATA ERROR"),0,CLEANED!J44/D46)</f>
        <v>7.4742268041237112E-2</v>
      </c>
      <c r="L46" s="6" t="str">
        <f>IF(N46="NEGATIVE QTY - DATA ERROR","Data Error",IF(D46&lt;=CLEANED!N44,"⚠️ Below Reorder Point - Restock Now",IF(AND(H46&gt;90,D46&gt;CLEANED!N44*2),"📦 Overstocked &amp; Dead","✅ Stock Level OK")))</f>
        <v>📦 Overstocked &amp; Dead</v>
      </c>
      <c r="M46" s="6" t="str">
        <f>CLEANED!P44</f>
        <v>OK</v>
      </c>
      <c r="N46" s="6" t="str">
        <f>CLEANED!Q44</f>
        <v>OK</v>
      </c>
      <c r="O46" s="6" t="str">
        <f>CLEANED!R44</f>
        <v>OK</v>
      </c>
    </row>
    <row r="47" spans="1:15" hidden="1" x14ac:dyDescent="0.3">
      <c r="A47" s="4" t="str">
        <f>CLEANED!A45</f>
        <v>SKU-5052</v>
      </c>
      <c r="B47" s="6" t="str">
        <f>CLEANED!B45</f>
        <v>Shampoo Argan 400ml</v>
      </c>
      <c r="C47" s="6" t="str">
        <f>CLEANED!C45</f>
        <v>Health &amp; Beauty</v>
      </c>
      <c r="D47" s="7">
        <f>CLEANED!F45</f>
        <v>124</v>
      </c>
      <c r="E47" s="8">
        <f>CLEANED!G45</f>
        <v>7432.63</v>
      </c>
      <c r="F47" s="8">
        <f>CLEANED!H45</f>
        <v>18831.03</v>
      </c>
      <c r="G47" s="9">
        <f>CLEANED!I45</f>
        <v>45727</v>
      </c>
      <c r="H47" s="7">
        <f t="shared" si="0"/>
        <v>60</v>
      </c>
      <c r="I47" s="6" t="str">
        <f t="shared" si="1"/>
        <v>🟠 Slow (31-60 Days)</v>
      </c>
      <c r="J47" s="8">
        <f t="shared" si="2"/>
        <v>921646.12</v>
      </c>
      <c r="K47" s="8">
        <f>IF(OR(D47&lt;=0,N47="NEGATIVE QTY - DATA ERROR"),0,CLEANED!J45/D47)</f>
        <v>0.12096774193548387</v>
      </c>
      <c r="L47" s="6" t="str">
        <f>IF(N47="NEGATIVE QTY - DATA ERROR","Data Error",IF(D47&lt;=CLEANED!N45,"⚠️ Below Reorder Point - Restock Now",IF(AND(H47&gt;90,D47&gt;CLEANED!N45*2),"📦 Overstocked &amp; Dead","✅ Stock Level OK")))</f>
        <v>✅ Stock Level OK</v>
      </c>
      <c r="M47" s="6" t="str">
        <f>CLEANED!P45</f>
        <v>OK</v>
      </c>
      <c r="N47" s="6" t="str">
        <f>CLEANED!Q45</f>
        <v>OK</v>
      </c>
      <c r="O47" s="6" t="str">
        <f>CLEANED!R45</f>
        <v>OK</v>
      </c>
    </row>
    <row r="48" spans="1:15" hidden="1" x14ac:dyDescent="0.3">
      <c r="A48" s="4" t="str">
        <f>CLEANED!A46</f>
        <v>SKU-5065</v>
      </c>
      <c r="B48" s="6" t="str">
        <f>CLEANED!B46</f>
        <v>Gym Gloves Large</v>
      </c>
      <c r="C48" s="6" t="str">
        <f>CLEANED!C46</f>
        <v>Sports &amp; Outdoor</v>
      </c>
      <c r="D48" s="7">
        <f>CLEANED!F46</f>
        <v>319</v>
      </c>
      <c r="E48" s="8">
        <f>CLEANED!G46</f>
        <v>7438.08</v>
      </c>
      <c r="F48" s="8">
        <f>CLEANED!H46</f>
        <v>20155.11</v>
      </c>
      <c r="G48" s="9">
        <f>CLEANED!I46</f>
        <v>45754</v>
      </c>
      <c r="H48" s="7">
        <f t="shared" si="0"/>
        <v>33</v>
      </c>
      <c r="I48" s="6" t="str">
        <f t="shared" si="1"/>
        <v>🟠 Slow (31-60 Days)</v>
      </c>
      <c r="J48" s="8">
        <f t="shared" si="2"/>
        <v>2372747.52</v>
      </c>
      <c r="K48" s="8">
        <f>IF(OR(D48&lt;=0,N48="NEGATIVE QTY - DATA ERROR"),0,CLEANED!J46/D48)</f>
        <v>4.3887147335423198E-2</v>
      </c>
      <c r="L48" s="6" t="str">
        <f>IF(N48="NEGATIVE QTY - DATA ERROR","Data Error",IF(D48&lt;=CLEANED!N46,"⚠️ Below Reorder Point - Restock Now",IF(AND(H48&gt;90,D48&gt;CLEANED!N46*2),"📦 Overstocked &amp; Dead","✅ Stock Level OK")))</f>
        <v>✅ Stock Level OK</v>
      </c>
      <c r="M48" s="6" t="str">
        <f>CLEANED!P46</f>
        <v>OK</v>
      </c>
      <c r="N48" s="6" t="str">
        <f>CLEANED!Q46</f>
        <v>OK</v>
      </c>
      <c r="O48" s="6" t="str">
        <f>CLEANED!R46</f>
        <v>OK</v>
      </c>
    </row>
    <row r="49" spans="1:17" hidden="1" x14ac:dyDescent="0.3">
      <c r="A49" s="4" t="str">
        <f>CLEANED!A47</f>
        <v>SKU-5061</v>
      </c>
      <c r="B49" s="6" t="str">
        <f>CLEANED!B47</f>
        <v>Resistance Bands Set 5</v>
      </c>
      <c r="C49" s="6" t="str">
        <f>CLEANED!C47</f>
        <v>Sports &amp; Outdoor</v>
      </c>
      <c r="D49" s="7">
        <f>CLEANED!F47</f>
        <v>232</v>
      </c>
      <c r="E49" s="8">
        <f>CLEANED!G47</f>
        <v>13996.98</v>
      </c>
      <c r="F49" s="8">
        <f>CLEANED!H47</f>
        <v>34533.99</v>
      </c>
      <c r="G49" s="9">
        <f>CLEANED!I47</f>
        <v>45765</v>
      </c>
      <c r="H49" s="7">
        <f t="shared" si="0"/>
        <v>22</v>
      </c>
      <c r="I49" s="6" t="str">
        <f t="shared" si="1"/>
        <v>🟢 Active (0-30 Days)</v>
      </c>
      <c r="J49" s="8">
        <f t="shared" si="2"/>
        <v>3247299.36</v>
      </c>
      <c r="K49" s="8">
        <f>IF(OR(D49&lt;=0,N49="NEGATIVE QTY - DATA ERROR"),0,CLEANED!J47/D49)</f>
        <v>0.34051724137931033</v>
      </c>
      <c r="L49" s="6" t="str">
        <f>IF(N49="NEGATIVE QTY - DATA ERROR","Data Error",IF(D49&lt;=CLEANED!N47,"⚠️ Below Reorder Point - Restock Now",IF(AND(H49&gt;90,D49&gt;CLEANED!N47*2),"📦 Overstocked &amp; Dead","✅ Stock Level OK")))</f>
        <v>✅ Stock Level OK</v>
      </c>
      <c r="M49" s="6" t="str">
        <f>CLEANED!P47</f>
        <v>OK</v>
      </c>
      <c r="N49" s="6" t="str">
        <f>CLEANED!Q47</f>
        <v>OK</v>
      </c>
      <c r="O49" s="6" t="str">
        <f>CLEANED!R47</f>
        <v>OK</v>
      </c>
    </row>
    <row r="50" spans="1:17" x14ac:dyDescent="0.3">
      <c r="A50" s="4" t="str">
        <f>CLEANED!A48</f>
        <v>SKU-5009</v>
      </c>
      <c r="B50" s="6" t="str">
        <f>CLEANED!B48</f>
        <v>Laptop Stand</v>
      </c>
      <c r="C50" s="6" t="str">
        <f>CLEANED!C48</f>
        <v>Electronics</v>
      </c>
      <c r="D50" s="7">
        <f>CLEANED!F48</f>
        <v>78</v>
      </c>
      <c r="E50" s="8">
        <f>CLEANED!G48</f>
        <v>17053.05</v>
      </c>
      <c r="F50" s="8">
        <f>CLEANED!H48</f>
        <v>33022.620000000003</v>
      </c>
      <c r="G50" s="9">
        <f>CLEANED!I48</f>
        <v>45393</v>
      </c>
      <c r="H50" s="7">
        <f t="shared" si="0"/>
        <v>394</v>
      </c>
      <c r="I50" s="6" t="str">
        <f t="shared" si="1"/>
        <v>🔴 Dead (90+ Days)</v>
      </c>
      <c r="J50" s="8">
        <f t="shared" si="2"/>
        <v>1330137.8999999999</v>
      </c>
      <c r="K50" s="8">
        <f>IF(OR(D50&lt;=0,N50="NEGATIVE QTY - DATA ERROR"),0,CLEANED!J48/D50)</f>
        <v>0.87179487179487181</v>
      </c>
      <c r="L50" s="6" t="str">
        <f>IF(N50="NEGATIVE QTY - DATA ERROR","Data Error",IF(D50&lt;=CLEANED!N48,"⚠️ Below Reorder Point - Restock Now",IF(AND(H50&gt;90,D50&gt;CLEANED!N48*2),"📦 Overstocked &amp; Dead","✅ Stock Level OK")))</f>
        <v>✅ Stock Level OK</v>
      </c>
      <c r="M50" s="6" t="str">
        <f>CLEANED!P48</f>
        <v>OK</v>
      </c>
      <c r="N50" s="6" t="str">
        <f>CLEANED!Q48</f>
        <v>OK</v>
      </c>
      <c r="O50" s="6" t="str">
        <f>CLEANED!R48</f>
        <v>OK</v>
      </c>
    </row>
    <row r="51" spans="1:17" hidden="1" x14ac:dyDescent="0.3">
      <c r="A51" s="4" t="str">
        <f>CLEANED!A49</f>
        <v>SKU-5068</v>
      </c>
      <c r="B51" s="6" t="str">
        <f>CLEANED!B49</f>
        <v>Cricket Bat Kashmir</v>
      </c>
      <c r="C51" s="6" t="str">
        <f>CLEANED!C49</f>
        <v>Sports &amp; Outdoor</v>
      </c>
      <c r="D51" s="7">
        <f>CLEANED!F49</f>
        <v>159</v>
      </c>
      <c r="E51" s="8">
        <f>CLEANED!G49</f>
        <v>10616.94</v>
      </c>
      <c r="F51" s="8">
        <f>CLEANED!H49</f>
        <v>16046.84</v>
      </c>
      <c r="G51" s="9">
        <f>CLEANED!I49</f>
        <v>45768</v>
      </c>
      <c r="H51" s="7">
        <f t="shared" si="0"/>
        <v>19</v>
      </c>
      <c r="I51" s="6" t="str">
        <f t="shared" si="1"/>
        <v>🟢 Active (0-30 Days)</v>
      </c>
      <c r="J51" s="8">
        <f t="shared" si="2"/>
        <v>1688093.4600000002</v>
      </c>
      <c r="K51" s="8">
        <f>IF(OR(D51&lt;=0,N51="NEGATIVE QTY - DATA ERROR"),0,CLEANED!J49/D51)</f>
        <v>0.4779874213836478</v>
      </c>
      <c r="L51" s="6" t="str">
        <f>IF(N51="NEGATIVE QTY - DATA ERROR","Data Error",IF(D51&lt;=CLEANED!N49,"⚠️ Below Reorder Point - Restock Now",IF(AND(H51&gt;90,D51&gt;CLEANED!N49*2),"📦 Overstocked &amp; Dead","✅ Stock Level OK")))</f>
        <v>✅ Stock Level OK</v>
      </c>
      <c r="M51" s="6" t="str">
        <f>CLEANED!P49</f>
        <v>OK</v>
      </c>
      <c r="N51" s="6" t="str">
        <f>CLEANED!Q49</f>
        <v>OK</v>
      </c>
      <c r="O51" s="6" t="str">
        <f>CLEANED!R49</f>
        <v>OK</v>
      </c>
    </row>
    <row r="52" spans="1:17" hidden="1" x14ac:dyDescent="0.3">
      <c r="A52" s="4" t="str">
        <f>CLEANED!A50</f>
        <v>SKU-5005</v>
      </c>
      <c r="B52" s="6" t="str">
        <f>CLEANED!B50</f>
        <v>Smart Watch</v>
      </c>
      <c r="C52" s="6" t="str">
        <f>CLEANED!C50</f>
        <v>Electronics</v>
      </c>
      <c r="D52" s="7">
        <f>CLEANED!F50</f>
        <v>413</v>
      </c>
      <c r="E52" s="8">
        <f>CLEANED!G50</f>
        <v>15793.16</v>
      </c>
      <c r="F52" s="8">
        <f>CLEANED!H50</f>
        <v>35078.769999999997</v>
      </c>
      <c r="G52" s="9">
        <f>CLEANED!I50</f>
        <v>45756</v>
      </c>
      <c r="H52" s="7">
        <f t="shared" si="0"/>
        <v>31</v>
      </c>
      <c r="I52" s="6" t="str">
        <f t="shared" si="1"/>
        <v>🟠 Slow (31-60 Days)</v>
      </c>
      <c r="J52" s="8">
        <f t="shared" si="2"/>
        <v>6522575.0800000001</v>
      </c>
      <c r="K52" s="8">
        <f>IF(OR(D52&lt;=0,N52="NEGATIVE QTY - DATA ERROR"),0,CLEANED!J50/D52)</f>
        <v>0.19854721549636803</v>
      </c>
      <c r="L52" s="6" t="str">
        <f>IF(N52="NEGATIVE QTY - DATA ERROR","Data Error",IF(D52&lt;=CLEANED!N50,"⚠️ Below Reorder Point - Restock Now",IF(AND(H52&gt;90,D52&gt;CLEANED!N50*2),"📦 Overstocked &amp; Dead","✅ Stock Level OK")))</f>
        <v>✅ Stock Level OK</v>
      </c>
      <c r="M52" s="6" t="str">
        <f>CLEANED!P50</f>
        <v>OK</v>
      </c>
      <c r="N52" s="6" t="str">
        <f>CLEANED!Q50</f>
        <v>OK</v>
      </c>
      <c r="O52" s="6" t="str">
        <f>CLEANED!R50</f>
        <v>OK</v>
      </c>
    </row>
    <row r="53" spans="1:17" x14ac:dyDescent="0.3">
      <c r="A53" s="4" t="str">
        <f>CLEANED!A51</f>
        <v>SKU-5038</v>
      </c>
      <c r="B53" s="6" t="str">
        <f>CLEANED!B51</f>
        <v>Chopping Board Set</v>
      </c>
      <c r="C53" s="6" t="str">
        <f>CLEANED!C51</f>
        <v>Home &amp; Kitchen</v>
      </c>
      <c r="D53" s="7">
        <f>CLEANED!F51</f>
        <v>559</v>
      </c>
      <c r="E53" s="8">
        <f>CLEANED!G51</f>
        <v>17383.71</v>
      </c>
      <c r="F53" s="8">
        <f>CLEANED!H51</f>
        <v>43072.92</v>
      </c>
      <c r="G53" s="9">
        <f>CLEANED!I51</f>
        <v>45416</v>
      </c>
      <c r="H53" s="7">
        <f t="shared" si="0"/>
        <v>371</v>
      </c>
      <c r="I53" s="6" t="str">
        <f t="shared" si="1"/>
        <v>🔴 Dead (90+ Days)</v>
      </c>
      <c r="J53" s="8">
        <f t="shared" si="2"/>
        <v>9717493.8899999987</v>
      </c>
      <c r="K53" s="8">
        <f>IF(OR(D53&lt;=0,N53="NEGATIVE QTY - DATA ERROR"),0,CLEANED!J51/D53)</f>
        <v>0.10554561717352415</v>
      </c>
      <c r="L53" s="6" t="str">
        <f>IF(N53="NEGATIVE QTY - DATA ERROR","Data Error",IF(D53&lt;=CLEANED!N51,"⚠️ Below Reorder Point - Restock Now",IF(AND(H53&gt;90,D53&gt;CLEANED!N51*2),"📦 Overstocked &amp; Dead","✅ Stock Level OK")))</f>
        <v>📦 Overstocked &amp; Dead</v>
      </c>
      <c r="M53" s="6" t="str">
        <f>CLEANED!P51</f>
        <v>OK</v>
      </c>
      <c r="N53" s="6" t="str">
        <f>CLEANED!Q51</f>
        <v>OK</v>
      </c>
      <c r="O53" s="6" t="str">
        <f>CLEANED!R51</f>
        <v>OK</v>
      </c>
    </row>
    <row r="54" spans="1:17" x14ac:dyDescent="0.3">
      <c r="A54" s="4" t="str">
        <f>CLEANED!A52</f>
        <v>SKU-5036</v>
      </c>
      <c r="B54" s="6" t="str">
        <f>CLEANED!B52</f>
        <v>Coffee Maker Drip</v>
      </c>
      <c r="C54" s="6" t="str">
        <f>CLEANED!C52</f>
        <v>Home &amp; Kitchen</v>
      </c>
      <c r="D54" s="7">
        <f>CLEANED!F52</f>
        <v>392</v>
      </c>
      <c r="E54" s="8">
        <f>CLEANED!G52</f>
        <v>16730.64</v>
      </c>
      <c r="F54" s="8">
        <f>CLEANED!H52</f>
        <v>44260.639999999999</v>
      </c>
      <c r="G54" s="9">
        <f>CLEANED!I52</f>
        <v>45670</v>
      </c>
      <c r="H54" s="7">
        <f t="shared" si="0"/>
        <v>117</v>
      </c>
      <c r="I54" s="6" t="str">
        <f t="shared" si="1"/>
        <v>🔴 Dead (90+ Days)</v>
      </c>
      <c r="J54" s="8">
        <f t="shared" si="2"/>
        <v>6558410.8799999999</v>
      </c>
      <c r="K54" s="8">
        <f>IF(OR(D54&lt;=0,N54="NEGATIVE QTY - DATA ERROR"),0,CLEANED!J52/D54)</f>
        <v>0.23214285714285715</v>
      </c>
      <c r="L54" s="6" t="str">
        <f>IF(N54="NEGATIVE QTY - DATA ERROR","Data Error",IF(D54&lt;=CLEANED!N52,"⚠️ Below Reorder Point - Restock Now",IF(AND(H54&gt;90,D54&gt;CLEANED!N52*2),"📦 Overstocked &amp; Dead","✅ Stock Level OK")))</f>
        <v>📦 Overstocked &amp; Dead</v>
      </c>
      <c r="M54" s="6" t="str">
        <f>CLEANED!P52</f>
        <v>OK</v>
      </c>
      <c r="N54" s="6" t="str">
        <f>CLEANED!Q52</f>
        <v>OK</v>
      </c>
      <c r="O54" s="6" t="str">
        <f>CLEANED!R52</f>
        <v>OK</v>
      </c>
    </row>
    <row r="55" spans="1:17" hidden="1" x14ac:dyDescent="0.3">
      <c r="A55" s="4" t="str">
        <f>CLEANED!A53</f>
        <v>SKU-5049</v>
      </c>
      <c r="B55" s="6" t="str">
        <f>CLEANED!B53</f>
        <v>Protein Powder 1kg</v>
      </c>
      <c r="C55" s="6" t="str">
        <f>CLEANED!C53</f>
        <v>Health &amp; Beauty</v>
      </c>
      <c r="D55" s="7">
        <f>CLEANED!F53</f>
        <v>511</v>
      </c>
      <c r="E55" s="8">
        <f>CLEANED!G53</f>
        <v>5115.09</v>
      </c>
      <c r="F55" s="8">
        <f>CLEANED!H53</f>
        <v>9474.61</v>
      </c>
      <c r="G55" s="9">
        <f>CLEANED!I53</f>
        <v>45745</v>
      </c>
      <c r="H55" s="7">
        <f t="shared" si="0"/>
        <v>42</v>
      </c>
      <c r="I55" s="6" t="str">
        <f t="shared" si="1"/>
        <v>🟠 Slow (31-60 Days)</v>
      </c>
      <c r="J55" s="8">
        <f t="shared" si="2"/>
        <v>2613810.9900000002</v>
      </c>
      <c r="K55" s="8">
        <f>IF(OR(D55&lt;=0,N55="NEGATIVE QTY - DATA ERROR"),0,CLEANED!J53/D55)</f>
        <v>0.11741682974559686</v>
      </c>
      <c r="L55" s="6" t="str">
        <f>IF(N55="NEGATIVE QTY - DATA ERROR","Data Error",IF(D55&lt;=CLEANED!N53,"⚠️ Below Reorder Point - Restock Now",IF(AND(H55&gt;90,D55&gt;CLEANED!N53*2),"📦 Overstocked &amp; Dead","✅ Stock Level OK")))</f>
        <v>✅ Stock Level OK</v>
      </c>
      <c r="M55" s="6" t="str">
        <f>CLEANED!P53</f>
        <v>OK</v>
      </c>
      <c r="N55" s="6" t="str">
        <f>CLEANED!Q53</f>
        <v>OK</v>
      </c>
      <c r="O55" s="6" t="str">
        <f>CLEANED!R53</f>
        <v>OK</v>
      </c>
    </row>
    <row r="56" spans="1:17" hidden="1" x14ac:dyDescent="0.3">
      <c r="A56" s="4" t="str">
        <f>CLEANED!A54</f>
        <v>SKU-5020</v>
      </c>
      <c r="B56" s="6" t="str">
        <f>CLEANED!B54</f>
        <v>Winter Jacket Fleece</v>
      </c>
      <c r="C56" s="6" t="str">
        <f>CLEANED!C54</f>
        <v>Clothing</v>
      </c>
      <c r="D56" s="7">
        <f>CLEANED!F54</f>
        <v>160</v>
      </c>
      <c r="E56" s="8">
        <f>CLEANED!G54</f>
        <v>7784.21</v>
      </c>
      <c r="F56" s="8">
        <f>CLEANED!H54</f>
        <v>5972.87</v>
      </c>
      <c r="G56" s="9">
        <f>CLEANED!I54</f>
        <v>45722</v>
      </c>
      <c r="H56" s="7">
        <f t="shared" si="0"/>
        <v>65</v>
      </c>
      <c r="I56" s="6" t="str">
        <f t="shared" si="1"/>
        <v>🟡 At Risk (61-90 Days)</v>
      </c>
      <c r="J56" s="8">
        <f t="shared" si="2"/>
        <v>1245473.6000000001</v>
      </c>
      <c r="K56" s="8">
        <f>IF(OR(D56&lt;=0,N56="NEGATIVE QTY - DATA ERROR"),0,CLEANED!J54/D56)</f>
        <v>0.66249999999999998</v>
      </c>
      <c r="L56" s="6" t="str">
        <f>IF(N56="NEGATIVE QTY - DATA ERROR","Data Error",IF(D56&lt;=CLEANED!N54,"⚠️ Below Reorder Point - Restock Now",IF(AND(H56&gt;90,D56&gt;CLEANED!N54*2),"📦 Overstocked &amp; Dead","✅ Stock Level OK")))</f>
        <v>✅ Stock Level OK</v>
      </c>
      <c r="M56" s="6" t="str">
        <f>CLEANED!P54</f>
        <v>OK</v>
      </c>
      <c r="N56" s="6" t="str">
        <f>CLEANED!Q54</f>
        <v>OK</v>
      </c>
      <c r="O56" s="6" t="str">
        <f>CLEANED!R54</f>
        <v>SELLING AT LOSS - REVIEW PRICING</v>
      </c>
    </row>
    <row r="57" spans="1:17" hidden="1" x14ac:dyDescent="0.3">
      <c r="A57" s="4" t="str">
        <f>CLEANED!A55</f>
        <v>SKU-5046</v>
      </c>
      <c r="B57" s="6" t="str">
        <f>CLEANED!B55</f>
        <v>Vitamin C Serum 30ml</v>
      </c>
      <c r="C57" s="6" t="str">
        <f>CLEANED!C55</f>
        <v>Health &amp; Beauty</v>
      </c>
      <c r="D57" s="7">
        <f>CLEANED!F55</f>
        <v>297</v>
      </c>
      <c r="E57" s="8">
        <f>CLEANED!G55</f>
        <v>8537.94</v>
      </c>
      <c r="F57" s="8">
        <f>CLEANED!H55</f>
        <v>6969.21</v>
      </c>
      <c r="G57" s="9">
        <f>CLEANED!I55</f>
        <v>45725</v>
      </c>
      <c r="H57" s="7">
        <f t="shared" si="0"/>
        <v>62</v>
      </c>
      <c r="I57" s="6" t="str">
        <f t="shared" si="1"/>
        <v>🟡 At Risk (61-90 Days)</v>
      </c>
      <c r="J57" s="8">
        <f t="shared" si="2"/>
        <v>2535768.1800000002</v>
      </c>
      <c r="K57" s="8">
        <f>IF(OR(D57&lt;=0,N57="NEGATIVE QTY - DATA ERROR"),0,CLEANED!J55/D57)</f>
        <v>0.19528619528619529</v>
      </c>
      <c r="L57" s="6" t="str">
        <f>IF(N57="NEGATIVE QTY - DATA ERROR","Data Error",IF(D57&lt;=CLEANED!N55,"⚠️ Below Reorder Point - Restock Now",IF(AND(H57&gt;90,D57&gt;CLEANED!N55*2),"📦 Overstocked &amp; Dead","✅ Stock Level OK")))</f>
        <v>✅ Stock Level OK</v>
      </c>
      <c r="M57" s="6" t="str">
        <f>CLEANED!P55</f>
        <v>OK</v>
      </c>
      <c r="N57" s="6" t="str">
        <f>CLEANED!Q55</f>
        <v>OK</v>
      </c>
      <c r="O57" s="6" t="str">
        <f>CLEANED!R55</f>
        <v>SELLING AT LOSS - REVIEW PRICING</v>
      </c>
    </row>
    <row r="58" spans="1:17" hidden="1" x14ac:dyDescent="0.3">
      <c r="A58" s="4" t="str">
        <f>CLEANED!A56</f>
        <v>SKU-5002</v>
      </c>
      <c r="B58" s="6" t="str">
        <f>CLEANED!B56</f>
        <v>Leather Belt Brown</v>
      </c>
      <c r="C58" s="6" t="str">
        <f>CLEANED!C56</f>
        <v>Clothing</v>
      </c>
      <c r="D58" s="7">
        <f>CLEANED!F56</f>
        <v>525</v>
      </c>
      <c r="E58" s="8">
        <f>CLEANED!G56</f>
        <v>6270.41</v>
      </c>
      <c r="F58" s="8">
        <f>CLEANED!H56</f>
        <v>16007.69</v>
      </c>
      <c r="G58" s="9">
        <f>CLEANED!I56</f>
        <v>45752</v>
      </c>
      <c r="H58" s="7">
        <f t="shared" si="0"/>
        <v>35</v>
      </c>
      <c r="I58" s="6" t="str">
        <f t="shared" si="1"/>
        <v>🟠 Slow (31-60 Days)</v>
      </c>
      <c r="J58" s="8">
        <f t="shared" si="2"/>
        <v>3291965.25</v>
      </c>
      <c r="K58" s="8">
        <f>IF(OR(D58&lt;=0,N58="NEGATIVE QTY - DATA ERROR"),0,CLEANED!J56/D58)</f>
        <v>0.21904761904761905</v>
      </c>
      <c r="L58" s="6" t="str">
        <f>IF(N58="NEGATIVE QTY - DATA ERROR","Data Error",IF(D58&lt;=CLEANED!N56,"⚠️ Below Reorder Point - Restock Now",IF(AND(H58&gt;90,D58&gt;CLEANED!N56*2),"📦 Overstocked &amp; Dead","✅ Stock Level OK")))</f>
        <v>✅ Stock Level OK</v>
      </c>
      <c r="M58" s="6" t="str">
        <f>CLEANED!P56</f>
        <v>OK</v>
      </c>
      <c r="N58" s="6" t="str">
        <f>CLEANED!Q56</f>
        <v>OK</v>
      </c>
      <c r="O58" s="6" t="str">
        <f>CLEANED!R56</f>
        <v>OK</v>
      </c>
      <c r="Q58" s="1"/>
    </row>
    <row r="59" spans="1:17" hidden="1" x14ac:dyDescent="0.3">
      <c r="A59" s="4" t="str">
        <f>CLEANED!A57</f>
        <v>SKU-5074</v>
      </c>
      <c r="B59" s="6" t="str">
        <f>CLEANED!B57</f>
        <v>Foam Roller</v>
      </c>
      <c r="C59" s="6" t="str">
        <f>CLEANED!C57</f>
        <v>Sports &amp; Outdoor</v>
      </c>
      <c r="D59" s="7">
        <f>CLEANED!F57</f>
        <v>237</v>
      </c>
      <c r="E59" s="8">
        <f>CLEANED!G57</f>
        <v>10465.85</v>
      </c>
      <c r="F59" s="8">
        <f>CLEANED!H57</f>
        <v>23268.9</v>
      </c>
      <c r="G59" s="9">
        <f>CLEANED!I57</f>
        <v>45711</v>
      </c>
      <c r="H59" s="7">
        <f t="shared" si="0"/>
        <v>76</v>
      </c>
      <c r="I59" s="6" t="str">
        <f t="shared" si="1"/>
        <v>🟡 At Risk (61-90 Days)</v>
      </c>
      <c r="J59" s="8">
        <f t="shared" si="2"/>
        <v>2480406.4500000002</v>
      </c>
      <c r="K59" s="8">
        <f>IF(OR(D59&lt;=0,N59="NEGATIVE QTY - DATA ERROR"),0,CLEANED!J57/D59)</f>
        <v>0.18565400843881857</v>
      </c>
      <c r="L59" s="6" t="str">
        <f>IF(N59="NEGATIVE QTY - DATA ERROR","Data Error",IF(D59&lt;=CLEANED!N57,"⚠️ Below Reorder Point - Restock Now",IF(AND(H59&gt;90,D59&gt;CLEANED!N57*2),"📦 Overstocked &amp; Dead","✅ Stock Level OK")))</f>
        <v>✅ Stock Level OK</v>
      </c>
      <c r="M59" s="6" t="str">
        <f>CLEANED!P57</f>
        <v>OK</v>
      </c>
      <c r="N59" s="6" t="str">
        <f>CLEANED!Q57</f>
        <v>OK</v>
      </c>
      <c r="O59" s="6" t="str">
        <f>CLEANED!R57</f>
        <v>OK</v>
      </c>
    </row>
    <row r="60" spans="1:17" hidden="1" x14ac:dyDescent="0.3">
      <c r="A60" s="4" t="str">
        <f>CLEANED!A58</f>
        <v>SKU-5010</v>
      </c>
      <c r="B60" s="6" t="str">
        <f>CLEANED!B58</f>
        <v>HDMI Cable 2m</v>
      </c>
      <c r="C60" s="6" t="str">
        <f>CLEANED!C58</f>
        <v>Electronics</v>
      </c>
      <c r="D60" s="7">
        <f>CLEANED!F58</f>
        <v>390</v>
      </c>
      <c r="E60" s="8">
        <f>CLEANED!G58</f>
        <v>12464.14</v>
      </c>
      <c r="F60" s="8">
        <f>CLEANED!H58</f>
        <v>22314.639999999999</v>
      </c>
      <c r="G60" s="9">
        <f>CLEANED!I58</f>
        <v>45780</v>
      </c>
      <c r="H60" s="7">
        <f t="shared" si="0"/>
        <v>7</v>
      </c>
      <c r="I60" s="6" t="str">
        <f t="shared" si="1"/>
        <v>🟢 Active (0-30 Days)</v>
      </c>
      <c r="J60" s="8">
        <f t="shared" si="2"/>
        <v>4861014.5999999996</v>
      </c>
      <c r="K60" s="8">
        <f>IF(OR(D60&lt;=0,N60="NEGATIVE QTY - DATA ERROR"),0,CLEANED!J58/D60)</f>
        <v>0.16923076923076924</v>
      </c>
      <c r="L60" s="6" t="str">
        <f>IF(N60="NEGATIVE QTY - DATA ERROR","Data Error",IF(D60&lt;=CLEANED!N58,"⚠️ Below Reorder Point - Restock Now",IF(AND(H60&gt;90,D60&gt;CLEANED!N58*2),"📦 Overstocked &amp; Dead","✅ Stock Level OK")))</f>
        <v>✅ Stock Level OK</v>
      </c>
      <c r="M60" s="6" t="str">
        <f>CLEANED!P58</f>
        <v>OK</v>
      </c>
      <c r="N60" s="6" t="str">
        <f>CLEANED!Q58</f>
        <v>OK</v>
      </c>
      <c r="O60" s="6" t="str">
        <f>CLEANED!R58</f>
        <v>OK</v>
      </c>
    </row>
    <row r="61" spans="1:17" hidden="1" x14ac:dyDescent="0.3">
      <c r="A61" s="4" t="str">
        <f>CLEANED!A59</f>
        <v>SKU-5021</v>
      </c>
      <c r="B61" s="6" t="str">
        <f>CLEANED!B59</f>
        <v>Sports T-Shirt</v>
      </c>
      <c r="C61" s="6" t="str">
        <f>CLEANED!C59</f>
        <v>Clothing</v>
      </c>
      <c r="D61" s="7">
        <f>CLEANED!F59</f>
        <v>424</v>
      </c>
      <c r="E61" s="8">
        <f>CLEANED!G59</f>
        <v>1984.87</v>
      </c>
      <c r="F61" s="8">
        <f>CLEANED!H59</f>
        <v>5171.2700000000004</v>
      </c>
      <c r="G61" s="9">
        <f>CLEANED!I59</f>
        <v>45753</v>
      </c>
      <c r="H61" s="7">
        <f t="shared" si="0"/>
        <v>34</v>
      </c>
      <c r="I61" s="6" t="str">
        <f t="shared" si="1"/>
        <v>🟠 Slow (31-60 Days)</v>
      </c>
      <c r="J61" s="8">
        <f t="shared" si="2"/>
        <v>841584.88</v>
      </c>
      <c r="K61" s="8">
        <f>IF(OR(D61&lt;=0,N61="NEGATIVE QTY - DATA ERROR"),0,CLEANED!J59/D61)</f>
        <v>0.22405660377358491</v>
      </c>
      <c r="L61" s="6" t="str">
        <f>IF(N61="NEGATIVE QTY - DATA ERROR","Data Error",IF(D61&lt;=CLEANED!N59,"⚠️ Below Reorder Point - Restock Now",IF(AND(H61&gt;90,D61&gt;CLEANED!N59*2),"📦 Overstocked &amp; Dead","✅ Stock Level OK")))</f>
        <v>✅ Stock Level OK</v>
      </c>
      <c r="M61" s="6" t="str">
        <f>CLEANED!P59</f>
        <v>OK</v>
      </c>
      <c r="N61" s="6" t="str">
        <f>CLEANED!Q59</f>
        <v>OK</v>
      </c>
      <c r="O61" s="6" t="str">
        <f>CLEANED!R59</f>
        <v>OK</v>
      </c>
    </row>
    <row r="62" spans="1:17" hidden="1" x14ac:dyDescent="0.3">
      <c r="A62" s="4" t="str">
        <f>CLEANED!A60</f>
        <v>SKU-5058</v>
      </c>
      <c r="B62" s="6" t="str">
        <f>CLEANED!B60</f>
        <v>Eyelash Serum</v>
      </c>
      <c r="C62" s="6" t="str">
        <f>CLEANED!C60</f>
        <v>Health &amp; Beauty</v>
      </c>
      <c r="D62" s="7">
        <f>CLEANED!F60</f>
        <v>192</v>
      </c>
      <c r="E62" s="8">
        <f>CLEANED!G60</f>
        <v>4508.92</v>
      </c>
      <c r="F62" s="8">
        <f>CLEANED!H60</f>
        <v>10214.620000000001</v>
      </c>
      <c r="G62" s="9">
        <f>CLEANED!I60</f>
        <v>45710</v>
      </c>
      <c r="H62" s="7">
        <f t="shared" si="0"/>
        <v>77</v>
      </c>
      <c r="I62" s="6" t="str">
        <f t="shared" si="1"/>
        <v>🟡 At Risk (61-90 Days)</v>
      </c>
      <c r="J62" s="8">
        <f t="shared" si="2"/>
        <v>865712.64000000001</v>
      </c>
      <c r="K62" s="8">
        <f>IF(OR(D62&lt;=0,N62="NEGATIVE QTY - DATA ERROR"),0,CLEANED!J60/D62)</f>
        <v>5.2083333333333336E-2</v>
      </c>
      <c r="L62" s="6" t="str">
        <f>IF(N62="NEGATIVE QTY - DATA ERROR","Data Error",IF(D62&lt;=CLEANED!N60,"⚠️ Below Reorder Point - Restock Now",IF(AND(H62&gt;90,D62&gt;CLEANED!N60*2),"📦 Overstocked &amp; Dead","✅ Stock Level OK")))</f>
        <v>✅ Stock Level OK</v>
      </c>
      <c r="M62" s="6" t="str">
        <f>CLEANED!P60</f>
        <v>OK</v>
      </c>
      <c r="N62" s="6" t="str">
        <f>CLEANED!Q60</f>
        <v>OK</v>
      </c>
      <c r="O62" s="6" t="str">
        <f>CLEANED!R60</f>
        <v>OK</v>
      </c>
    </row>
    <row r="63" spans="1:17" hidden="1" x14ac:dyDescent="0.3">
      <c r="A63" s="4" t="str">
        <f>CLEANED!A61</f>
        <v>SKU-5019</v>
      </c>
      <c r="B63" s="6" t="str">
        <f>CLEANED!B61</f>
        <v>Body Lotion 250ml</v>
      </c>
      <c r="C63" s="6" t="str">
        <f>CLEANED!C61</f>
        <v>Health &amp; Beauty</v>
      </c>
      <c r="D63" s="7">
        <f>CLEANED!F61</f>
        <v>147</v>
      </c>
      <c r="E63" s="8">
        <f>CLEANED!G61</f>
        <v>6997.01</v>
      </c>
      <c r="F63" s="8">
        <f>CLEANED!H61</f>
        <v>13811.01</v>
      </c>
      <c r="G63" s="9">
        <f>CLEANED!I61</f>
        <v>45740</v>
      </c>
      <c r="H63" s="7">
        <f t="shared" si="0"/>
        <v>47</v>
      </c>
      <c r="I63" s="6" t="str">
        <f t="shared" si="1"/>
        <v>🟠 Slow (31-60 Days)</v>
      </c>
      <c r="J63" s="8">
        <f t="shared" si="2"/>
        <v>1028560.4700000001</v>
      </c>
      <c r="K63" s="8">
        <f>IF(OR(D63&lt;=0,N63="NEGATIVE QTY - DATA ERROR"),0,CLEANED!J61/D63)</f>
        <v>0.23809523809523808</v>
      </c>
      <c r="L63" s="6" t="str">
        <f>IF(N63="NEGATIVE QTY - DATA ERROR","Data Error",IF(D63&lt;=CLEANED!N61,"⚠️ Below Reorder Point - Restock Now",IF(AND(H63&gt;90,D63&gt;CLEANED!N61*2),"📦 Overstocked &amp; Dead","✅ Stock Level OK")))</f>
        <v>✅ Stock Level OK</v>
      </c>
      <c r="M63" s="6" t="str">
        <f>CLEANED!P61</f>
        <v>OK</v>
      </c>
      <c r="N63" s="6" t="str">
        <f>CLEANED!Q61</f>
        <v>OK</v>
      </c>
      <c r="O63" s="6" t="str">
        <f>CLEANED!R61</f>
        <v>OK</v>
      </c>
    </row>
    <row r="64" spans="1:17" x14ac:dyDescent="0.3">
      <c r="A64" s="4" t="str">
        <f>CLEANED!A62</f>
        <v>SKU-5048</v>
      </c>
      <c r="B64" s="6" t="str">
        <f>CLEANED!B62</f>
        <v>Electric Toothbrush</v>
      </c>
      <c r="C64" s="6" t="str">
        <f>CLEANED!C62</f>
        <v>Health &amp; Beauty</v>
      </c>
      <c r="D64" s="7">
        <f>CLEANED!F62</f>
        <v>34</v>
      </c>
      <c r="E64" s="8">
        <f>CLEANED!G62</f>
        <v>16026.2</v>
      </c>
      <c r="F64" s="8">
        <f>CLEANED!H62</f>
        <v>34203.74</v>
      </c>
      <c r="G64" s="9">
        <f>CLEANED!I62</f>
        <v>45663</v>
      </c>
      <c r="H64" s="7">
        <f t="shared" si="0"/>
        <v>124</v>
      </c>
      <c r="I64" s="6" t="str">
        <f t="shared" si="1"/>
        <v>🔴 Dead (90+ Days)</v>
      </c>
      <c r="J64" s="8">
        <f t="shared" si="2"/>
        <v>544890.80000000005</v>
      </c>
      <c r="K64" s="8">
        <f>IF(OR(D64&lt;=0,N64="NEGATIVE QTY - DATA ERROR"),0,CLEANED!J62/D64)</f>
        <v>2.5294117647058822</v>
      </c>
      <c r="L64" s="6" t="str">
        <f>IF(N64="NEGATIVE QTY - DATA ERROR","Data Error",IF(D64&lt;=CLEANED!N62,"⚠️ Below Reorder Point - Restock Now",IF(AND(H64&gt;90,D64&gt;CLEANED!N62*2),"📦 Overstocked &amp; Dead","✅ Stock Level OK")))</f>
        <v>⚠️ Below Reorder Point - Restock Now</v>
      </c>
      <c r="M64" s="6" t="str">
        <f>CLEANED!P62</f>
        <v>OK</v>
      </c>
      <c r="N64" s="6" t="str">
        <f>CLEANED!Q62</f>
        <v>OK</v>
      </c>
      <c r="O64" s="6" t="str">
        <f>CLEANED!R62</f>
        <v>OK</v>
      </c>
    </row>
    <row r="65" spans="1:15" hidden="1" x14ac:dyDescent="0.3">
      <c r="A65" s="4" t="str">
        <f>CLEANED!A63</f>
        <v>SKU-5027</v>
      </c>
      <c r="B65" s="6" t="str">
        <f>CLEANED!B63</f>
        <v>Rain Coat</v>
      </c>
      <c r="C65" s="6" t="str">
        <f>CLEANED!C63</f>
        <v>Clothing</v>
      </c>
      <c r="D65" s="7">
        <f>CLEANED!F63</f>
        <v>181</v>
      </c>
      <c r="E65" s="8">
        <f>CLEANED!G63</f>
        <v>9274.4599999999991</v>
      </c>
      <c r="F65" s="8">
        <f>CLEANED!H63</f>
        <v>25342.63</v>
      </c>
      <c r="G65" s="9">
        <f>CLEANED!I63</f>
        <v>45738</v>
      </c>
      <c r="H65" s="7">
        <f t="shared" si="0"/>
        <v>49</v>
      </c>
      <c r="I65" s="6" t="str">
        <f t="shared" si="1"/>
        <v>🟠 Slow (31-60 Days)</v>
      </c>
      <c r="J65" s="8">
        <f t="shared" si="2"/>
        <v>1678677.2599999998</v>
      </c>
      <c r="K65" s="8">
        <f>IF(OR(D65&lt;=0,N65="NEGATIVE QTY - DATA ERROR"),0,CLEANED!J63/D65)</f>
        <v>0.19889502762430938</v>
      </c>
      <c r="L65" s="6" t="str">
        <f>IF(N65="NEGATIVE QTY - DATA ERROR","Data Error",IF(D65&lt;=CLEANED!N63,"⚠️ Below Reorder Point - Restock Now",IF(AND(H65&gt;90,D65&gt;CLEANED!N63*2),"📦 Overstocked &amp; Dead","✅ Stock Level OK")))</f>
        <v>✅ Stock Level OK</v>
      </c>
      <c r="M65" s="6" t="str">
        <f>CLEANED!P63</f>
        <v>OK</v>
      </c>
      <c r="N65" s="6" t="str">
        <f>CLEANED!Q63</f>
        <v>OK</v>
      </c>
      <c r="O65" s="6" t="str">
        <f>CLEANED!R63</f>
        <v>OK</v>
      </c>
    </row>
    <row r="66" spans="1:15" hidden="1" x14ac:dyDescent="0.3">
      <c r="A66" s="4" t="str">
        <f>CLEANED!A64</f>
        <v>SKU-5011</v>
      </c>
      <c r="B66" s="6" t="str">
        <f>CLEANED!B64</f>
        <v>Phone Tripod</v>
      </c>
      <c r="C66" s="6" t="str">
        <f>CLEANED!C64</f>
        <v>Electronics</v>
      </c>
      <c r="D66" s="7">
        <f>CLEANED!F64</f>
        <v>80</v>
      </c>
      <c r="E66" s="8">
        <f>CLEANED!G64</f>
        <v>4236.6099999999997</v>
      </c>
      <c r="F66" s="8">
        <f>CLEANED!H64</f>
        <v>10863.46</v>
      </c>
      <c r="G66" s="9">
        <f>CLEANED!I64</f>
        <v>45773</v>
      </c>
      <c r="H66" s="7">
        <f t="shared" si="0"/>
        <v>14</v>
      </c>
      <c r="I66" s="6" t="str">
        <f t="shared" si="1"/>
        <v>🟢 Active (0-30 Days)</v>
      </c>
      <c r="J66" s="8">
        <f t="shared" si="2"/>
        <v>338928.8</v>
      </c>
      <c r="K66" s="8">
        <f>IF(OR(D66&lt;=0,N66="NEGATIVE QTY - DATA ERROR"),0,CLEANED!J64/D66)</f>
        <v>0.4375</v>
      </c>
      <c r="L66" s="6" t="str">
        <f>IF(N66="NEGATIVE QTY - DATA ERROR","Data Error",IF(D66&lt;=CLEANED!N64,"⚠️ Below Reorder Point - Restock Now",IF(AND(H66&gt;90,D66&gt;CLEANED!N64*2),"📦 Overstocked &amp; Dead","✅ Stock Level OK")))</f>
        <v>⚠️ Below Reorder Point - Restock Now</v>
      </c>
      <c r="M66" s="6" t="str">
        <f>CLEANED!P64</f>
        <v>OK</v>
      </c>
      <c r="N66" s="6" t="str">
        <f>CLEANED!Q64</f>
        <v>OK</v>
      </c>
      <c r="O66" s="6" t="str">
        <f>CLEANED!R64</f>
        <v>OK</v>
      </c>
    </row>
    <row r="67" spans="1:15" hidden="1" x14ac:dyDescent="0.3">
      <c r="A67" s="4" t="str">
        <f>CLEANED!A65</f>
        <v>SKU-5003</v>
      </c>
      <c r="B67" s="6" t="str">
        <f>CLEANED!B65</f>
        <v>Wireless Earbuds</v>
      </c>
      <c r="C67" s="6" t="str">
        <f>CLEANED!C65</f>
        <v>Electronics</v>
      </c>
      <c r="D67" s="7">
        <f>CLEANED!F65</f>
        <v>111</v>
      </c>
      <c r="E67" s="8">
        <f>CLEANED!G65</f>
        <v>5315.58</v>
      </c>
      <c r="F67" s="8">
        <f>CLEANED!H65</f>
        <v>8032.31</v>
      </c>
      <c r="G67" s="9">
        <f>CLEANED!I65</f>
        <v>45750</v>
      </c>
      <c r="H67" s="7">
        <f t="shared" si="0"/>
        <v>37</v>
      </c>
      <c r="I67" s="6" t="str">
        <f t="shared" si="1"/>
        <v>🟠 Slow (31-60 Days)</v>
      </c>
      <c r="J67" s="8">
        <f t="shared" si="2"/>
        <v>590029.38</v>
      </c>
      <c r="K67" s="8">
        <f>IF(OR(D67&lt;=0,N67="NEGATIVE QTY - DATA ERROR"),0,CLEANED!J65/D67)</f>
        <v>0.52252252252252251</v>
      </c>
      <c r="L67" s="6" t="str">
        <f>IF(N67="NEGATIVE QTY - DATA ERROR","Data Error",IF(D67&lt;=CLEANED!N65,"⚠️ Below Reorder Point - Restock Now",IF(AND(H67&gt;90,D67&gt;CLEANED!N65*2),"📦 Overstocked &amp; Dead","✅ Stock Level OK")))</f>
        <v>✅ Stock Level OK</v>
      </c>
      <c r="M67" s="6" t="str">
        <f>CLEANED!P65</f>
        <v>OK</v>
      </c>
      <c r="N67" s="6" t="str">
        <f>CLEANED!Q65</f>
        <v>OK</v>
      </c>
      <c r="O67" s="6" t="str">
        <f>CLEANED!R65</f>
        <v>OK</v>
      </c>
    </row>
    <row r="68" spans="1:15" x14ac:dyDescent="0.3">
      <c r="A68" s="4" t="str">
        <f>CLEANED!A66</f>
        <v>SKU-5073</v>
      </c>
      <c r="B68" s="6" t="str">
        <f>CLEANED!B66</f>
        <v>Ankle Weights 2kg</v>
      </c>
      <c r="C68" s="6" t="str">
        <f>CLEANED!C66</f>
        <v>Sports &amp; Outdoor</v>
      </c>
      <c r="D68" s="7">
        <f>CLEANED!F66</f>
        <v>583</v>
      </c>
      <c r="E68" s="8">
        <f>CLEANED!G66</f>
        <v>14640.08</v>
      </c>
      <c r="F68" s="8">
        <f>CLEANED!H66</f>
        <v>30821.19</v>
      </c>
      <c r="G68" s="9">
        <f>CLEANED!I66</f>
        <v>45493</v>
      </c>
      <c r="H68" s="7">
        <f t="shared" si="0"/>
        <v>294</v>
      </c>
      <c r="I68" s="6" t="str">
        <f t="shared" si="1"/>
        <v>🔴 Dead (90+ Days)</v>
      </c>
      <c r="J68" s="8">
        <f t="shared" si="2"/>
        <v>8535166.6400000006</v>
      </c>
      <c r="K68" s="8">
        <f>IF(OR(D68&lt;=0,N68="NEGATIVE QTY - DATA ERROR"),0,CLEANED!J66/D68)</f>
        <v>0.14579759862778729</v>
      </c>
      <c r="L68" s="6" t="str">
        <f>IF(N68="NEGATIVE QTY - DATA ERROR","Data Error",IF(D68&lt;=CLEANED!N66,"⚠️ Below Reorder Point - Restock Now",IF(AND(H68&gt;90,D68&gt;CLEANED!N66*2),"📦 Overstocked &amp; Dead","✅ Stock Level OK")))</f>
        <v>📦 Overstocked &amp; Dead</v>
      </c>
      <c r="M68" s="6" t="str">
        <f>CLEANED!P66</f>
        <v>OK</v>
      </c>
      <c r="N68" s="6" t="str">
        <f>CLEANED!Q66</f>
        <v>OK</v>
      </c>
      <c r="O68" s="6" t="str">
        <f>CLEANED!R66</f>
        <v>OK</v>
      </c>
    </row>
    <row r="69" spans="1:15" hidden="1" x14ac:dyDescent="0.3">
      <c r="A69" s="4" t="str">
        <f>CLEANED!A67</f>
        <v>SKU-5008</v>
      </c>
      <c r="B69" s="6" t="str">
        <f>CLEANED!B67</f>
        <v>Mechanical Keyboard</v>
      </c>
      <c r="C69" s="6" t="str">
        <f>CLEANED!C67</f>
        <v>Electronics</v>
      </c>
      <c r="D69" s="7">
        <f>CLEANED!F67</f>
        <v>173</v>
      </c>
      <c r="E69" s="8">
        <f>CLEANED!G67</f>
        <v>11555.25</v>
      </c>
      <c r="F69" s="8">
        <f>CLEANED!H67</f>
        <v>15908.92</v>
      </c>
      <c r="G69" s="9">
        <f>CLEANED!I67</f>
        <v>45748</v>
      </c>
      <c r="H69" s="7">
        <f t="shared" ref="H69:H78" si="3">IF(M69="NO SALE RECORDED","No Sale Record",$R$1-G69)</f>
        <v>39</v>
      </c>
      <c r="I69" s="6" t="str">
        <f t="shared" ref="I69:I78" si="4">IF(H69="No Sale Record","🔴 Dead - No Sale",IF(H69&gt;90,"🔴 Dead (90+ Days)",IF(H69&gt;60,"🟡 At Risk (61-90 Days)",IF(H69&gt;30,"🟠 Slow (31-60 Days)","🟢 Active (0-30 Days)"))))</f>
        <v>🟠 Slow (31-60 Days)</v>
      </c>
      <c r="J69" s="8">
        <f t="shared" ref="J69:J78" si="5">IF(N69="NEGATIVE QTY - DATA ERROR",0,D69*E69)</f>
        <v>1999058.25</v>
      </c>
      <c r="K69" s="8">
        <f>IF(OR(D69&lt;=0,N69="NEGATIVE QTY - DATA ERROR"),0,CLEANED!J67/D69)</f>
        <v>0.5722543352601156</v>
      </c>
      <c r="L69" s="6" t="str">
        <f>IF(N69="NEGATIVE QTY - DATA ERROR","Data Error",IF(D69&lt;=CLEANED!N67,"⚠️ Below Reorder Point - Restock Now",IF(AND(H69&gt;90,D69&gt;CLEANED!N67*2),"📦 Overstocked &amp; Dead","✅ Stock Level OK")))</f>
        <v>⚠️ Below Reorder Point - Restock Now</v>
      </c>
      <c r="M69" s="6" t="str">
        <f>CLEANED!P67</f>
        <v>OK</v>
      </c>
      <c r="N69" s="6" t="str">
        <f>CLEANED!Q67</f>
        <v>OK</v>
      </c>
      <c r="O69" s="6" t="str">
        <f>CLEANED!R67</f>
        <v>OK</v>
      </c>
    </row>
    <row r="70" spans="1:15" x14ac:dyDescent="0.3">
      <c r="A70" s="4" t="str">
        <f>CLEANED!A68</f>
        <v>SKU-5051</v>
      </c>
      <c r="B70" s="6" t="str">
        <f>CLEANED!B68</f>
        <v>Sunscreen SPF50</v>
      </c>
      <c r="C70" s="6" t="str">
        <f>CLEANED!C68</f>
        <v>Health &amp; Beauty</v>
      </c>
      <c r="D70" s="7">
        <f>CLEANED!F68</f>
        <v>60</v>
      </c>
      <c r="E70" s="8">
        <f>CLEANED!G68</f>
        <v>11264.01</v>
      </c>
      <c r="F70" s="8">
        <f>CLEANED!H68</f>
        <v>20980.67</v>
      </c>
      <c r="G70" s="9">
        <f>CLEANED!I68</f>
        <v>45498</v>
      </c>
      <c r="H70" s="7">
        <f t="shared" si="3"/>
        <v>289</v>
      </c>
      <c r="I70" s="6" t="str">
        <f t="shared" si="4"/>
        <v>🔴 Dead (90+ Days)</v>
      </c>
      <c r="J70" s="8">
        <f t="shared" si="5"/>
        <v>675840.6</v>
      </c>
      <c r="K70" s="8">
        <f>IF(OR(D70&lt;=0,N70="NEGATIVE QTY - DATA ERROR"),0,CLEANED!J68/D70)</f>
        <v>1.1666666666666667</v>
      </c>
      <c r="L70" s="6" t="str">
        <f>IF(N70="NEGATIVE QTY - DATA ERROR","Data Error",IF(D70&lt;=CLEANED!N68,"⚠️ Below Reorder Point - Restock Now",IF(AND(H70&gt;90,D70&gt;CLEANED!N68*2),"📦 Overstocked &amp; Dead","✅ Stock Level OK")))</f>
        <v>✅ Stock Level OK</v>
      </c>
      <c r="M70" s="6" t="str">
        <f>CLEANED!P68</f>
        <v>OK</v>
      </c>
      <c r="N70" s="6" t="str">
        <f>CLEANED!Q68</f>
        <v>OK</v>
      </c>
      <c r="O70" s="6" t="str">
        <f>CLEANED!R68</f>
        <v>OK</v>
      </c>
    </row>
    <row r="71" spans="1:15" hidden="1" x14ac:dyDescent="0.3">
      <c r="A71" s="4" t="str">
        <f>CLEANED!A69</f>
        <v>SKU-5072</v>
      </c>
      <c r="B71" s="6" t="str">
        <f>CLEANED!B69</f>
        <v>Pull-up Bar Doorway</v>
      </c>
      <c r="C71" s="6" t="str">
        <f>CLEANED!C69</f>
        <v>Sports &amp; Outdoor</v>
      </c>
      <c r="D71" s="7">
        <f>CLEANED!F69</f>
        <v>105</v>
      </c>
      <c r="E71" s="8">
        <f>CLEANED!G69</f>
        <v>7536.57</v>
      </c>
      <c r="F71" s="8">
        <f>CLEANED!H69</f>
        <v>13489.46</v>
      </c>
      <c r="G71" s="9">
        <f>CLEANED!I69</f>
        <v>45737</v>
      </c>
      <c r="H71" s="7">
        <f t="shared" si="3"/>
        <v>50</v>
      </c>
      <c r="I71" s="6" t="str">
        <f t="shared" si="4"/>
        <v>🟠 Slow (31-60 Days)</v>
      </c>
      <c r="J71" s="8">
        <f t="shared" si="5"/>
        <v>791339.85</v>
      </c>
      <c r="K71" s="8">
        <f>IF(OR(D71&lt;=0,N71="NEGATIVE QTY - DATA ERROR"),0,CLEANED!J69/D71)</f>
        <v>0.38095238095238093</v>
      </c>
      <c r="L71" s="6" t="str">
        <f>IF(N71="NEGATIVE QTY - DATA ERROR","Data Error",IF(D71&lt;=CLEANED!N69,"⚠️ Below Reorder Point - Restock Now",IF(AND(H71&gt;90,D71&gt;CLEANED!N69*2),"📦 Overstocked &amp; Dead","✅ Stock Level OK")))</f>
        <v>✅ Stock Level OK</v>
      </c>
      <c r="M71" s="6" t="str">
        <f>CLEANED!P69</f>
        <v>OK</v>
      </c>
      <c r="N71" s="6" t="str">
        <f>CLEANED!Q69</f>
        <v>OK</v>
      </c>
      <c r="O71" s="6" t="str">
        <f>CLEANED!R69</f>
        <v>OK</v>
      </c>
    </row>
    <row r="72" spans="1:15" hidden="1" x14ac:dyDescent="0.3">
      <c r="A72" s="4" t="str">
        <f>CLEANED!A70</f>
        <v>SKU-5018</v>
      </c>
      <c r="B72" s="6" t="str">
        <f>CLEANED!B70</f>
        <v>Casual Sneakers</v>
      </c>
      <c r="C72" s="6" t="str">
        <f>CLEANED!C70</f>
        <v>Clothing</v>
      </c>
      <c r="D72" s="7">
        <f>CLEANED!F70</f>
        <v>-18</v>
      </c>
      <c r="E72" s="8">
        <f>CLEANED!G70</f>
        <v>15032.35</v>
      </c>
      <c r="F72" s="8">
        <f>CLEANED!H70</f>
        <v>32283.759999999998</v>
      </c>
      <c r="G72" s="9">
        <f>CLEANED!I70</f>
        <v>45700</v>
      </c>
      <c r="H72" s="7">
        <f t="shared" si="3"/>
        <v>87</v>
      </c>
      <c r="I72" s="6" t="str">
        <f t="shared" si="4"/>
        <v>🟡 At Risk (61-90 Days)</v>
      </c>
      <c r="J72" s="8">
        <f t="shared" si="5"/>
        <v>0</v>
      </c>
      <c r="K72" s="8">
        <f>IF(OR(D72&lt;=0,N72="NEGATIVE QTY - DATA ERROR"),0,CLEANED!J70/D72)</f>
        <v>0</v>
      </c>
      <c r="L72" s="6" t="str">
        <f>IF(N72="NEGATIVE QTY - DATA ERROR","Data Error",IF(D72&lt;=CLEANED!N70,"⚠️ Below Reorder Point - Restock Now",IF(AND(H72&gt;90,D72&gt;CLEANED!N70*2),"📦 Overstocked &amp; Dead","✅ Stock Level OK")))</f>
        <v>Data Error</v>
      </c>
      <c r="M72" s="6" t="str">
        <f>CLEANED!P70</f>
        <v>OK</v>
      </c>
      <c r="N72" s="6" t="str">
        <f>CLEANED!Q70</f>
        <v>NEGATIVE QTY - DATA ERROR</v>
      </c>
      <c r="O72" s="6" t="str">
        <f>CLEANED!R70</f>
        <v>OK</v>
      </c>
    </row>
    <row r="73" spans="1:15" hidden="1" x14ac:dyDescent="0.3">
      <c r="A73" s="4" t="str">
        <f>CLEANED!A71</f>
        <v>SKU-5000</v>
      </c>
      <c r="B73" s="6" t="str">
        <f>CLEANED!B71</f>
        <v>LED TV 32 inch</v>
      </c>
      <c r="C73" s="6" t="str">
        <f>CLEANED!C71</f>
        <v>Electronics</v>
      </c>
      <c r="D73" s="7">
        <f>CLEANED!F71</f>
        <v>112</v>
      </c>
      <c r="E73" s="8">
        <f>CLEANED!G71</f>
        <v>13386.68</v>
      </c>
      <c r="F73" s="8">
        <f>CLEANED!H71</f>
        <v>18131.240000000002</v>
      </c>
      <c r="G73" s="9">
        <f>CLEANED!I71</f>
        <v>43831</v>
      </c>
      <c r="H73" s="7" t="str">
        <f t="shared" si="3"/>
        <v>No Sale Record</v>
      </c>
      <c r="I73" s="6" t="str">
        <f t="shared" si="4"/>
        <v>🔴 Dead - No Sale</v>
      </c>
      <c r="J73" s="8">
        <f t="shared" si="5"/>
        <v>1499308.1600000001</v>
      </c>
      <c r="K73" s="8">
        <f>IF(OR(D73&lt;=0,N73="NEGATIVE QTY - DATA ERROR"),0,CLEANED!J71/D73)</f>
        <v>1.0178571428571428</v>
      </c>
      <c r="L73" s="6" t="str">
        <f>IF(N73="NEGATIVE QTY - DATA ERROR","Data Error",IF(D73&lt;=CLEANED!N71,"⚠️ Below Reorder Point - Restock Now",IF(AND(H73&gt;90,D73&gt;CLEANED!N71*2),"📦 Overstocked &amp; Dead","✅ Stock Level OK")))</f>
        <v>⚠️ Below Reorder Point - Restock Now</v>
      </c>
      <c r="M73" s="6" t="str">
        <f>CLEANED!P71</f>
        <v>NO SALE RECORDED</v>
      </c>
      <c r="N73" s="6" t="str">
        <f>CLEANED!Q71</f>
        <v>OK</v>
      </c>
      <c r="O73" s="6" t="str">
        <f>CLEANED!R71</f>
        <v>OK</v>
      </c>
    </row>
    <row r="74" spans="1:15" hidden="1" x14ac:dyDescent="0.3">
      <c r="A74" s="4" t="str">
        <f>CLEANED!A72</f>
        <v>SKU-5044</v>
      </c>
      <c r="B74" s="6" t="str">
        <f>CLEANED!B72</f>
        <v>Mixing Bowls Set</v>
      </c>
      <c r="C74" s="6" t="str">
        <f>CLEANED!C72</f>
        <v>Home &amp; Kitchen</v>
      </c>
      <c r="D74" s="7">
        <f>CLEANED!F72</f>
        <v>95</v>
      </c>
      <c r="E74" s="8">
        <f>CLEANED!G72</f>
        <v>2858.33</v>
      </c>
      <c r="F74" s="8">
        <f>CLEANED!H72</f>
        <v>7759.03</v>
      </c>
      <c r="G74" s="9">
        <f>CLEANED!I72</f>
        <v>45773</v>
      </c>
      <c r="H74" s="7">
        <f t="shared" si="3"/>
        <v>14</v>
      </c>
      <c r="I74" s="6" t="str">
        <f t="shared" si="4"/>
        <v>🟢 Active (0-30 Days)</v>
      </c>
      <c r="J74" s="8">
        <f t="shared" si="5"/>
        <v>271541.34999999998</v>
      </c>
      <c r="K74" s="8">
        <f>IF(OR(D74&lt;=0,N74="NEGATIVE QTY - DATA ERROR"),0,CLEANED!J72/D74)</f>
        <v>0.15789473684210525</v>
      </c>
      <c r="L74" s="6" t="str">
        <f>IF(N74="NEGATIVE QTY - DATA ERROR","Data Error",IF(D74&lt;=CLEANED!N72,"⚠️ Below Reorder Point - Restock Now",IF(AND(H74&gt;90,D74&gt;CLEANED!N72*2),"📦 Overstocked &amp; Dead","✅ Stock Level OK")))</f>
        <v>⚠️ Below Reorder Point - Restock Now</v>
      </c>
      <c r="M74" s="6" t="str">
        <f>CLEANED!P72</f>
        <v>OK</v>
      </c>
      <c r="N74" s="6" t="str">
        <f>CLEANED!Q72</f>
        <v>OK</v>
      </c>
      <c r="O74" s="6" t="str">
        <f>CLEANED!R72</f>
        <v>OK</v>
      </c>
    </row>
    <row r="75" spans="1:15" hidden="1" x14ac:dyDescent="0.3">
      <c r="A75" s="4" t="str">
        <f>CLEANED!A73</f>
        <v>SKU-5043</v>
      </c>
      <c r="B75" s="6" t="str">
        <f>CLEANED!B73</f>
        <v>Vegetable Steamer</v>
      </c>
      <c r="C75" s="6" t="str">
        <f>CLEANED!C73</f>
        <v>Home &amp; Kitchen</v>
      </c>
      <c r="D75" s="7">
        <f>CLEANED!F73</f>
        <v>498</v>
      </c>
      <c r="E75" s="8">
        <f>CLEANED!G73</f>
        <v>1981.19</v>
      </c>
      <c r="F75" s="8">
        <f>CLEANED!H73</f>
        <v>1615.46</v>
      </c>
      <c r="G75" s="9">
        <f>CLEANED!I73</f>
        <v>45759</v>
      </c>
      <c r="H75" s="7">
        <f t="shared" si="3"/>
        <v>28</v>
      </c>
      <c r="I75" s="6" t="str">
        <f t="shared" si="4"/>
        <v>🟢 Active (0-30 Days)</v>
      </c>
      <c r="J75" s="8">
        <f t="shared" si="5"/>
        <v>986632.62</v>
      </c>
      <c r="K75" s="8">
        <f>IF(OR(D75&lt;=0,N75="NEGATIVE QTY - DATA ERROR"),0,CLEANED!J73/D75)</f>
        <v>4.6184738955823292E-2</v>
      </c>
      <c r="L75" s="6" t="str">
        <f>IF(N75="NEGATIVE QTY - DATA ERROR","Data Error",IF(D75&lt;=CLEANED!N73,"⚠️ Below Reorder Point - Restock Now",IF(AND(H75&gt;90,D75&gt;CLEANED!N73*2),"📦 Overstocked &amp; Dead","✅ Stock Level OK")))</f>
        <v>✅ Stock Level OK</v>
      </c>
      <c r="M75" s="6" t="str">
        <f>CLEANED!P73</f>
        <v>OK</v>
      </c>
      <c r="N75" s="6" t="str">
        <f>CLEANED!Q73</f>
        <v>OK</v>
      </c>
      <c r="O75" s="6" t="str">
        <f>CLEANED!R73</f>
        <v>SELLING AT LOSS - REVIEW PRICING</v>
      </c>
    </row>
    <row r="76" spans="1:15" hidden="1" x14ac:dyDescent="0.3">
      <c r="A76" s="4" t="str">
        <f>CLEANED!A74</f>
        <v>SKU-5039</v>
      </c>
      <c r="B76" s="6" t="str">
        <f>CLEANED!B74</f>
        <v>Toaster 2-Slice</v>
      </c>
      <c r="C76" s="6" t="str">
        <f>CLEANED!C74</f>
        <v>Home &amp; Kitchen</v>
      </c>
      <c r="D76" s="7">
        <f>CLEANED!F74</f>
        <v>340</v>
      </c>
      <c r="E76" s="8">
        <f>CLEANED!G74</f>
        <v>12077.16</v>
      </c>
      <c r="F76" s="8">
        <f>CLEANED!H74</f>
        <v>23555.71</v>
      </c>
      <c r="G76" s="9">
        <f>CLEANED!I74</f>
        <v>45725</v>
      </c>
      <c r="H76" s="7">
        <f t="shared" si="3"/>
        <v>62</v>
      </c>
      <c r="I76" s="6" t="str">
        <f t="shared" si="4"/>
        <v>🟡 At Risk (61-90 Days)</v>
      </c>
      <c r="J76" s="8">
        <f t="shared" si="5"/>
        <v>4106234.4</v>
      </c>
      <c r="K76" s="8">
        <f>IF(OR(D76&lt;=0,N76="NEGATIVE QTY - DATA ERROR"),0,CLEANED!J74/D76)</f>
        <v>7.9411764705882348E-2</v>
      </c>
      <c r="L76" s="6" t="str">
        <f>IF(N76="NEGATIVE QTY - DATA ERROR","Data Error",IF(D76&lt;=CLEANED!N74,"⚠️ Below Reorder Point - Restock Now",IF(AND(H76&gt;90,D76&gt;CLEANED!N74*2),"📦 Overstocked &amp; Dead","✅ Stock Level OK")))</f>
        <v>✅ Stock Level OK</v>
      </c>
      <c r="M76" s="6" t="str">
        <f>CLEANED!P74</f>
        <v>OK</v>
      </c>
      <c r="N76" s="6" t="str">
        <f>CLEANED!Q74</f>
        <v>OK</v>
      </c>
      <c r="O76" s="6" t="str">
        <f>CLEANED!R74</f>
        <v>OK</v>
      </c>
    </row>
    <row r="77" spans="1:15" x14ac:dyDescent="0.3">
      <c r="A77" s="4" t="str">
        <f>CLEANED!A75</f>
        <v>SKU-5034</v>
      </c>
      <c r="B77" s="6" t="str">
        <f>CLEANED!B75</f>
        <v>Dinner Set 24pc</v>
      </c>
      <c r="C77" s="6" t="str">
        <f>CLEANED!C75</f>
        <v>Home &amp; Kitchen</v>
      </c>
      <c r="D77" s="7">
        <f>CLEANED!F75</f>
        <v>266</v>
      </c>
      <c r="E77" s="8">
        <f>CLEANED!G75</f>
        <v>6917.4</v>
      </c>
      <c r="F77" s="8">
        <f>CLEANED!H75</f>
        <v>17415.47</v>
      </c>
      <c r="G77" s="9">
        <f>CLEANED!I75</f>
        <v>45686</v>
      </c>
      <c r="H77" s="7">
        <f t="shared" si="3"/>
        <v>101</v>
      </c>
      <c r="I77" s="6" t="str">
        <f t="shared" si="4"/>
        <v>🔴 Dead (90+ Days)</v>
      </c>
      <c r="J77" s="8">
        <f t="shared" si="5"/>
        <v>1840028.4</v>
      </c>
      <c r="K77" s="8">
        <f>IF(OR(D77&lt;=0,N77="NEGATIVE QTY - DATA ERROR"),0,CLEANED!J75/D77)</f>
        <v>0.22556390977443608</v>
      </c>
      <c r="L77" s="6" t="str">
        <f>IF(N77="NEGATIVE QTY - DATA ERROR","Data Error",IF(D77&lt;=CLEANED!N75,"⚠️ Below Reorder Point - Restock Now",IF(AND(H77&gt;90,D77&gt;CLEANED!N75*2),"📦 Overstocked &amp; Dead","✅ Stock Level OK")))</f>
        <v>📦 Overstocked &amp; Dead</v>
      </c>
      <c r="M77" s="6" t="str">
        <f>CLEANED!P75</f>
        <v>OK</v>
      </c>
      <c r="N77" s="6" t="str">
        <f>CLEANED!Q75</f>
        <v>OK</v>
      </c>
      <c r="O77" s="6" t="str">
        <f>CLEANED!R75</f>
        <v>OK</v>
      </c>
    </row>
    <row r="78" spans="1:15" x14ac:dyDescent="0.3">
      <c r="A78" s="4" t="str">
        <f>CLEANED!A76</f>
        <v>SKU-5023</v>
      </c>
      <c r="B78" s="6" t="str">
        <f>CLEANED!B76</f>
        <v>Summer Dress Floral</v>
      </c>
      <c r="C78" s="6" t="str">
        <f>CLEANED!C76</f>
        <v>Clothing</v>
      </c>
      <c r="D78" s="7">
        <f>CLEANED!F76</f>
        <v>416</v>
      </c>
      <c r="E78" s="8">
        <f>CLEANED!G76</f>
        <v>15703.12</v>
      </c>
      <c r="F78" s="8">
        <f>CLEANED!H76</f>
        <v>34999.99</v>
      </c>
      <c r="G78" s="9">
        <f>CLEANED!I76</f>
        <v>45689</v>
      </c>
      <c r="H78" s="7">
        <f t="shared" si="3"/>
        <v>98</v>
      </c>
      <c r="I78" s="6" t="str">
        <f t="shared" si="4"/>
        <v>🔴 Dead (90+ Days)</v>
      </c>
      <c r="J78" s="8">
        <f t="shared" si="5"/>
        <v>6532497.9199999999</v>
      </c>
      <c r="K78" s="8">
        <f>IF(OR(D78&lt;=0,N78="NEGATIVE QTY - DATA ERROR"),0,CLEANED!J76/D78)</f>
        <v>0.26442307692307693</v>
      </c>
      <c r="L78" s="6" t="str">
        <f>IF(N78="NEGATIVE QTY - DATA ERROR","Data Error",IF(D78&lt;=CLEANED!N76,"⚠️ Below Reorder Point - Restock Now",IF(AND(H78&gt;90,D78&gt;CLEANED!N76*2),"📦 Overstocked &amp; Dead","✅ Stock Level OK")))</f>
        <v>📦 Overstocked &amp; Dead</v>
      </c>
      <c r="M78" s="6" t="str">
        <f>CLEANED!P76</f>
        <v>OK</v>
      </c>
      <c r="N78" s="6" t="str">
        <f>CLEANED!Q76</f>
        <v>OK</v>
      </c>
      <c r="O78" s="6" t="str">
        <f>CLEANED!R76</f>
        <v>OK</v>
      </c>
    </row>
    <row r="83" spans="9:9" x14ac:dyDescent="0.3">
      <c r="I83" s="3"/>
    </row>
  </sheetData>
  <autoFilter ref="A3:O78" xr:uid="{4B0B1229-BBFA-4F30-B78C-0EDD7172B5E5}">
    <filterColumn colId="8">
      <filters>
        <filter val="🔴 Dead (90+ Days)"/>
      </filters>
    </filterColumn>
  </autoFilter>
  <conditionalFormatting sqref="A4:O78">
    <cfRule type="expression" dxfId="0" priority="1">
      <formula>MOD(ROW(),2)=0</formula>
    </cfRule>
  </conditionalFormatting>
  <pageMargins left="0.7" right="0.7" top="0.75" bottom="0.75" header="0.3" footer="0.3"/>
  <pageSetup orientation="portrait" r:id="rId1"/>
  <ignoredErrors>
    <ignoredError sqref="E4:E78 F4:F78"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99D5F-B77A-4F3F-85AA-6DF47C2F358D}">
  <dimension ref="A2:B31"/>
  <sheetViews>
    <sheetView workbookViewId="0">
      <selection activeCell="A3" sqref="A3"/>
    </sheetView>
  </sheetViews>
  <sheetFormatPr defaultRowHeight="14.4" x14ac:dyDescent="0.3"/>
  <cols>
    <col min="1" max="1" width="24.5546875" bestFit="1" customWidth="1"/>
    <col min="2" max="2" width="22" customWidth="1"/>
  </cols>
  <sheetData>
    <row r="2" spans="1:2" x14ac:dyDescent="0.3">
      <c r="A2" s="6"/>
      <c r="B2" s="6"/>
    </row>
    <row r="3" spans="1:2" ht="15.6" x14ac:dyDescent="0.3">
      <c r="A3" s="56" t="s">
        <v>2</v>
      </c>
      <c r="B3" s="56" t="s">
        <v>255</v>
      </c>
    </row>
    <row r="4" spans="1:2" x14ac:dyDescent="0.3">
      <c r="A4" s="51" t="s">
        <v>35</v>
      </c>
      <c r="B4" s="54">
        <v>36854280.460000001</v>
      </c>
    </row>
    <row r="5" spans="1:2" x14ac:dyDescent="0.3">
      <c r="A5" s="52" t="s">
        <v>250</v>
      </c>
      <c r="B5" s="54">
        <v>23450113.93</v>
      </c>
    </row>
    <row r="6" spans="1:2" x14ac:dyDescent="0.3">
      <c r="A6" s="52" t="s">
        <v>251</v>
      </c>
      <c r="B6" s="54">
        <v>5812227.3899999997</v>
      </c>
    </row>
    <row r="7" spans="1:2" x14ac:dyDescent="0.3">
      <c r="A7" s="52" t="s">
        <v>252</v>
      </c>
      <c r="B7" s="54">
        <v>5223792.5600000005</v>
      </c>
    </row>
    <row r="8" spans="1:2" x14ac:dyDescent="0.3">
      <c r="A8" s="52" t="s">
        <v>253</v>
      </c>
      <c r="B8" s="54">
        <v>2368146.58</v>
      </c>
    </row>
    <row r="9" spans="1:2" x14ac:dyDescent="0.3">
      <c r="A9" s="51" t="s">
        <v>42</v>
      </c>
      <c r="B9" s="54">
        <v>38841668.869999997</v>
      </c>
    </row>
    <row r="10" spans="1:2" x14ac:dyDescent="0.3">
      <c r="A10" s="52" t="s">
        <v>254</v>
      </c>
      <c r="B10" s="54">
        <v>8500770.9299999997</v>
      </c>
    </row>
    <row r="11" spans="1:2" x14ac:dyDescent="0.3">
      <c r="A11" s="52" t="s">
        <v>250</v>
      </c>
      <c r="B11" s="54">
        <v>2546480.7199999997</v>
      </c>
    </row>
    <row r="12" spans="1:2" x14ac:dyDescent="0.3">
      <c r="A12" s="52" t="s">
        <v>251</v>
      </c>
      <c r="B12" s="54">
        <v>16508407.75</v>
      </c>
    </row>
    <row r="13" spans="1:2" x14ac:dyDescent="0.3">
      <c r="A13" s="52" t="s">
        <v>252</v>
      </c>
      <c r="B13" s="54">
        <v>6086066.0700000003</v>
      </c>
    </row>
    <row r="14" spans="1:2" x14ac:dyDescent="0.3">
      <c r="A14" s="52" t="s">
        <v>253</v>
      </c>
      <c r="B14" s="54">
        <v>5199943.3999999994</v>
      </c>
    </row>
    <row r="15" spans="1:2" x14ac:dyDescent="0.3">
      <c r="A15" s="51" t="s">
        <v>22</v>
      </c>
      <c r="B15" s="54">
        <v>35278643.469999999</v>
      </c>
    </row>
    <row r="16" spans="1:2" x14ac:dyDescent="0.3">
      <c r="A16" s="52" t="s">
        <v>254</v>
      </c>
      <c r="B16" s="54">
        <v>3650828.72</v>
      </c>
    </row>
    <row r="17" spans="1:2" x14ac:dyDescent="0.3">
      <c r="A17" s="52" t="s">
        <v>250</v>
      </c>
      <c r="B17" s="54">
        <v>1220731.3999999999</v>
      </c>
    </row>
    <row r="18" spans="1:2" x14ac:dyDescent="0.3">
      <c r="A18" s="52" t="s">
        <v>251</v>
      </c>
      <c r="B18" s="54">
        <v>16401819.389999999</v>
      </c>
    </row>
    <row r="19" spans="1:2" x14ac:dyDescent="0.3">
      <c r="A19" s="52" t="s">
        <v>252</v>
      </c>
      <c r="B19" s="54">
        <v>12778193.4</v>
      </c>
    </row>
    <row r="20" spans="1:2" x14ac:dyDescent="0.3">
      <c r="A20" s="52" t="s">
        <v>253</v>
      </c>
      <c r="B20" s="54">
        <v>1227070.56</v>
      </c>
    </row>
    <row r="21" spans="1:2" x14ac:dyDescent="0.3">
      <c r="A21" s="51" t="s">
        <v>17</v>
      </c>
      <c r="B21" s="54">
        <v>53476366.579999998</v>
      </c>
    </row>
    <row r="22" spans="1:2" x14ac:dyDescent="0.3">
      <c r="A22" s="52" t="s">
        <v>250</v>
      </c>
      <c r="B22" s="54">
        <v>34149865.399999999</v>
      </c>
    </row>
    <row r="23" spans="1:2" x14ac:dyDescent="0.3">
      <c r="A23" s="52" t="s">
        <v>251</v>
      </c>
      <c r="B23" s="54">
        <v>12357618.510000002</v>
      </c>
    </row>
    <row r="24" spans="1:2" x14ac:dyDescent="0.3">
      <c r="A24" s="52" t="s">
        <v>252</v>
      </c>
      <c r="B24" s="54">
        <v>4106234.4</v>
      </c>
    </row>
    <row r="25" spans="1:2" x14ac:dyDescent="0.3">
      <c r="A25" s="52" t="s">
        <v>253</v>
      </c>
      <c r="B25" s="54">
        <v>2862648.27</v>
      </c>
    </row>
    <row r="26" spans="1:2" x14ac:dyDescent="0.3">
      <c r="A26" s="51" t="s">
        <v>31</v>
      </c>
      <c r="B26" s="54">
        <v>41001145.619999997</v>
      </c>
    </row>
    <row r="27" spans="1:2" x14ac:dyDescent="0.3">
      <c r="A27" s="52" t="s">
        <v>250</v>
      </c>
      <c r="B27" s="54">
        <v>18155193.07</v>
      </c>
    </row>
    <row r="28" spans="1:2" x14ac:dyDescent="0.3">
      <c r="A28" s="52" t="s">
        <v>251</v>
      </c>
      <c r="B28" s="54">
        <v>8921323.75</v>
      </c>
    </row>
    <row r="29" spans="1:2" x14ac:dyDescent="0.3">
      <c r="A29" s="52" t="s">
        <v>252</v>
      </c>
      <c r="B29" s="54">
        <v>8989235.9800000004</v>
      </c>
    </row>
    <row r="30" spans="1:2" x14ac:dyDescent="0.3">
      <c r="A30" s="52" t="s">
        <v>253</v>
      </c>
      <c r="B30" s="54">
        <v>4935392.82</v>
      </c>
    </row>
    <row r="31" spans="1:2" x14ac:dyDescent="0.3">
      <c r="A31" s="57" t="s">
        <v>249</v>
      </c>
      <c r="B31" s="58">
        <v>205452105</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44D3E-5857-400E-B360-B86162FA6CCC}">
  <dimension ref="A3:C9"/>
  <sheetViews>
    <sheetView workbookViewId="0">
      <selection activeCell="E8" sqref="E8"/>
    </sheetView>
  </sheetViews>
  <sheetFormatPr defaultRowHeight="14.4" x14ac:dyDescent="0.3"/>
  <cols>
    <col min="1" max="1" width="20.44140625" bestFit="1" customWidth="1"/>
    <col min="2" max="2" width="19.5546875" customWidth="1"/>
    <col min="3" max="3" width="23.77734375" customWidth="1"/>
  </cols>
  <sheetData>
    <row r="3" spans="1:3" ht="15.6" x14ac:dyDescent="0.3">
      <c r="A3" s="56" t="s">
        <v>258</v>
      </c>
      <c r="B3" s="56" t="s">
        <v>256</v>
      </c>
      <c r="C3" s="56" t="s">
        <v>255</v>
      </c>
    </row>
    <row r="4" spans="1:3" x14ac:dyDescent="0.3">
      <c r="A4" s="51" t="s">
        <v>254</v>
      </c>
      <c r="B4" s="53">
        <v>4</v>
      </c>
      <c r="C4" s="54">
        <v>12151599.65</v>
      </c>
    </row>
    <row r="5" spans="1:3" x14ac:dyDescent="0.3">
      <c r="A5" s="51" t="s">
        <v>250</v>
      </c>
      <c r="B5" s="53">
        <v>24</v>
      </c>
      <c r="C5" s="54">
        <v>79522384.519999996</v>
      </c>
    </row>
    <row r="6" spans="1:3" x14ac:dyDescent="0.3">
      <c r="A6" s="51" t="s">
        <v>251</v>
      </c>
      <c r="B6" s="53">
        <v>22</v>
      </c>
      <c r="C6" s="54">
        <v>60001396.790000007</v>
      </c>
    </row>
    <row r="7" spans="1:3" x14ac:dyDescent="0.3">
      <c r="A7" s="51" t="s">
        <v>252</v>
      </c>
      <c r="B7" s="53">
        <v>13</v>
      </c>
      <c r="C7" s="54">
        <v>37183522.409999996</v>
      </c>
    </row>
    <row r="8" spans="1:3" x14ac:dyDescent="0.3">
      <c r="A8" s="51" t="s">
        <v>253</v>
      </c>
      <c r="B8" s="53">
        <v>12</v>
      </c>
      <c r="C8" s="54">
        <v>16593201.630000001</v>
      </c>
    </row>
    <row r="9" spans="1:3" x14ac:dyDescent="0.3">
      <c r="A9" s="57" t="s">
        <v>249</v>
      </c>
      <c r="B9" s="63">
        <v>75</v>
      </c>
      <c r="C9" s="58">
        <v>205452105.00000003</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5531E-B775-4476-9363-C17603E791C3}">
  <dimension ref="A1:B52"/>
  <sheetViews>
    <sheetView workbookViewId="0">
      <selection activeCell="B8" sqref="B8"/>
    </sheetView>
  </sheetViews>
  <sheetFormatPr defaultRowHeight="14.4" x14ac:dyDescent="0.3"/>
  <cols>
    <col min="1" max="1" width="26.33203125" bestFit="1" customWidth="1"/>
    <col min="2" max="2" width="19.77734375" bestFit="1" customWidth="1"/>
  </cols>
  <sheetData>
    <row r="1" spans="1:2" x14ac:dyDescent="0.3">
      <c r="A1" s="64" t="s">
        <v>243</v>
      </c>
      <c r="B1" s="64" t="s">
        <v>250</v>
      </c>
    </row>
    <row r="2" spans="1:2" x14ac:dyDescent="0.3">
      <c r="A2" s="66"/>
      <c r="B2" s="66"/>
    </row>
    <row r="3" spans="1:2" ht="15.6" x14ac:dyDescent="0.3">
      <c r="A3" s="65" t="s">
        <v>1</v>
      </c>
      <c r="B3" s="65" t="s">
        <v>257</v>
      </c>
    </row>
    <row r="4" spans="1:2" x14ac:dyDescent="0.3">
      <c r="A4" s="51" t="s">
        <v>131</v>
      </c>
      <c r="B4" s="54">
        <v>9717493.8899999987</v>
      </c>
    </row>
    <row r="5" spans="1:2" x14ac:dyDescent="0.3">
      <c r="A5" s="52" t="s">
        <v>17</v>
      </c>
      <c r="B5" s="54">
        <v>9717493.8899999987</v>
      </c>
    </row>
    <row r="6" spans="1:2" x14ac:dyDescent="0.3">
      <c r="A6" s="51" t="s">
        <v>160</v>
      </c>
      <c r="B6" s="54">
        <v>8535166.6400000006</v>
      </c>
    </row>
    <row r="7" spans="1:2" x14ac:dyDescent="0.3">
      <c r="A7" s="52" t="s">
        <v>31</v>
      </c>
      <c r="B7" s="54">
        <v>8535166.6400000006</v>
      </c>
    </row>
    <row r="8" spans="1:2" x14ac:dyDescent="0.3">
      <c r="A8" s="51" t="s">
        <v>113</v>
      </c>
      <c r="B8" s="54">
        <v>6603560.2800000003</v>
      </c>
    </row>
    <row r="9" spans="1:2" x14ac:dyDescent="0.3">
      <c r="A9" s="52" t="s">
        <v>35</v>
      </c>
      <c r="B9" s="54">
        <v>6603560.2800000003</v>
      </c>
    </row>
    <row r="10" spans="1:2" x14ac:dyDescent="0.3">
      <c r="A10" s="51" t="s">
        <v>133</v>
      </c>
      <c r="B10" s="54">
        <v>6558410.8799999999</v>
      </c>
    </row>
    <row r="11" spans="1:2" x14ac:dyDescent="0.3">
      <c r="A11" s="52" t="s">
        <v>17</v>
      </c>
      <c r="B11" s="54">
        <v>6558410.8799999999</v>
      </c>
    </row>
    <row r="12" spans="1:2" x14ac:dyDescent="0.3">
      <c r="A12" s="51" t="s">
        <v>179</v>
      </c>
      <c r="B12" s="54">
        <v>6532497.9199999999</v>
      </c>
    </row>
    <row r="13" spans="1:2" x14ac:dyDescent="0.3">
      <c r="A13" s="52" t="s">
        <v>35</v>
      </c>
      <c r="B13" s="54">
        <v>6532497.9199999999</v>
      </c>
    </row>
    <row r="14" spans="1:2" x14ac:dyDescent="0.3">
      <c r="A14" s="51" t="s">
        <v>107</v>
      </c>
      <c r="B14" s="54">
        <v>5328225</v>
      </c>
    </row>
    <row r="15" spans="1:2" x14ac:dyDescent="0.3">
      <c r="A15" s="52" t="s">
        <v>17</v>
      </c>
      <c r="B15" s="54">
        <v>5328225</v>
      </c>
    </row>
    <row r="16" spans="1:2" x14ac:dyDescent="0.3">
      <c r="A16" s="51" t="s">
        <v>117</v>
      </c>
      <c r="B16" s="54">
        <v>4718076.12</v>
      </c>
    </row>
    <row r="17" spans="1:2" x14ac:dyDescent="0.3">
      <c r="A17" s="52" t="s">
        <v>31</v>
      </c>
      <c r="B17" s="54">
        <v>4718076.12</v>
      </c>
    </row>
    <row r="18" spans="1:2" x14ac:dyDescent="0.3">
      <c r="A18" s="51" t="s">
        <v>75</v>
      </c>
      <c r="B18" s="54">
        <v>4524266.1000000006</v>
      </c>
    </row>
    <row r="19" spans="1:2" x14ac:dyDescent="0.3">
      <c r="A19" s="52" t="s">
        <v>17</v>
      </c>
      <c r="B19" s="54">
        <v>4524266.1000000006</v>
      </c>
    </row>
    <row r="20" spans="1:2" x14ac:dyDescent="0.3">
      <c r="A20" s="51" t="s">
        <v>77</v>
      </c>
      <c r="B20" s="54">
        <v>4414434</v>
      </c>
    </row>
    <row r="21" spans="1:2" x14ac:dyDescent="0.3">
      <c r="A21" s="52" t="s">
        <v>35</v>
      </c>
      <c r="B21" s="54">
        <v>4414434</v>
      </c>
    </row>
    <row r="22" spans="1:2" x14ac:dyDescent="0.3">
      <c r="A22" s="51" t="s">
        <v>93</v>
      </c>
      <c r="B22" s="54">
        <v>4392445.7200000007</v>
      </c>
    </row>
    <row r="23" spans="1:2" x14ac:dyDescent="0.3">
      <c r="A23" s="52" t="s">
        <v>35</v>
      </c>
      <c r="B23" s="54">
        <v>4392445.7200000007</v>
      </c>
    </row>
    <row r="24" spans="1:2" x14ac:dyDescent="0.3">
      <c r="A24" s="51" t="s">
        <v>30</v>
      </c>
      <c r="B24" s="54">
        <v>4149487.64</v>
      </c>
    </row>
    <row r="25" spans="1:2" x14ac:dyDescent="0.3">
      <c r="A25" s="52" t="s">
        <v>31</v>
      </c>
      <c r="B25" s="54">
        <v>4149487.64</v>
      </c>
    </row>
    <row r="26" spans="1:2" x14ac:dyDescent="0.3">
      <c r="A26" s="51" t="s">
        <v>97</v>
      </c>
      <c r="B26" s="54">
        <v>2394864.88</v>
      </c>
    </row>
    <row r="27" spans="1:2" x14ac:dyDescent="0.3">
      <c r="A27" s="52" t="s">
        <v>17</v>
      </c>
      <c r="B27" s="54">
        <v>2394864.88</v>
      </c>
    </row>
    <row r="28" spans="1:2" x14ac:dyDescent="0.3">
      <c r="A28" s="51" t="s">
        <v>59</v>
      </c>
      <c r="B28" s="54">
        <v>2381471.25</v>
      </c>
    </row>
    <row r="29" spans="1:2" x14ac:dyDescent="0.3">
      <c r="A29" s="52" t="s">
        <v>17</v>
      </c>
      <c r="B29" s="54">
        <v>2381471.25</v>
      </c>
    </row>
    <row r="30" spans="1:2" x14ac:dyDescent="0.3">
      <c r="A30" s="51" t="s">
        <v>177</v>
      </c>
      <c r="B30" s="54">
        <v>1840028.4</v>
      </c>
    </row>
    <row r="31" spans="1:2" x14ac:dyDescent="0.3">
      <c r="A31" s="52" t="s">
        <v>17</v>
      </c>
      <c r="B31" s="54">
        <v>1840028.4</v>
      </c>
    </row>
    <row r="32" spans="1:2" x14ac:dyDescent="0.3">
      <c r="A32" s="51" t="s">
        <v>16</v>
      </c>
      <c r="B32" s="54">
        <v>1405105</v>
      </c>
    </row>
    <row r="33" spans="1:2" x14ac:dyDescent="0.3">
      <c r="A33" s="52" t="s">
        <v>17</v>
      </c>
      <c r="B33" s="54">
        <v>1405105</v>
      </c>
    </row>
    <row r="34" spans="1:2" x14ac:dyDescent="0.3">
      <c r="A34" s="51" t="s">
        <v>125</v>
      </c>
      <c r="B34" s="54">
        <v>1330137.8999999999</v>
      </c>
    </row>
    <row r="35" spans="1:2" x14ac:dyDescent="0.3">
      <c r="A35" s="52" t="s">
        <v>42</v>
      </c>
      <c r="B35" s="54">
        <v>1330137.8999999999</v>
      </c>
    </row>
    <row r="36" spans="1:2" x14ac:dyDescent="0.3">
      <c r="A36" s="51" t="s">
        <v>72</v>
      </c>
      <c r="B36" s="54">
        <v>1114373.0399999998</v>
      </c>
    </row>
    <row r="37" spans="1:2" x14ac:dyDescent="0.3">
      <c r="A37" s="52" t="s">
        <v>35</v>
      </c>
      <c r="B37" s="54">
        <v>1114373.0399999998</v>
      </c>
    </row>
    <row r="38" spans="1:2" x14ac:dyDescent="0.3">
      <c r="A38" s="51" t="s">
        <v>62</v>
      </c>
      <c r="B38" s="54">
        <v>1109404.8</v>
      </c>
    </row>
    <row r="39" spans="1:2" x14ac:dyDescent="0.3">
      <c r="A39" s="52" t="s">
        <v>42</v>
      </c>
      <c r="B39" s="54">
        <v>1109404.8</v>
      </c>
    </row>
    <row r="40" spans="1:2" x14ac:dyDescent="0.3">
      <c r="A40" s="51" t="s">
        <v>87</v>
      </c>
      <c r="B40" s="54">
        <v>752462.67</v>
      </c>
    </row>
    <row r="41" spans="1:2" x14ac:dyDescent="0.3">
      <c r="A41" s="52" t="s">
        <v>31</v>
      </c>
      <c r="B41" s="54">
        <v>752462.67</v>
      </c>
    </row>
    <row r="42" spans="1:2" x14ac:dyDescent="0.3">
      <c r="A42" s="51" t="s">
        <v>164</v>
      </c>
      <c r="B42" s="54">
        <v>675840.6</v>
      </c>
    </row>
    <row r="43" spans="1:2" x14ac:dyDescent="0.3">
      <c r="A43" s="52" t="s">
        <v>22</v>
      </c>
      <c r="B43" s="54">
        <v>675840.6</v>
      </c>
    </row>
    <row r="44" spans="1:2" x14ac:dyDescent="0.3">
      <c r="A44" s="51" t="s">
        <v>152</v>
      </c>
      <c r="B44" s="54">
        <v>544890.80000000005</v>
      </c>
    </row>
    <row r="45" spans="1:2" x14ac:dyDescent="0.3">
      <c r="A45" s="52" t="s">
        <v>22</v>
      </c>
      <c r="B45" s="54">
        <v>544890.80000000005</v>
      </c>
    </row>
    <row r="46" spans="1:2" x14ac:dyDescent="0.3">
      <c r="A46" s="51" t="s">
        <v>79</v>
      </c>
      <c r="B46" s="54">
        <v>392802.97000000003</v>
      </c>
    </row>
    <row r="47" spans="1:2" x14ac:dyDescent="0.3">
      <c r="A47" s="52" t="s">
        <v>35</v>
      </c>
      <c r="B47" s="54">
        <v>392802.97000000003</v>
      </c>
    </row>
    <row r="48" spans="1:2" x14ac:dyDescent="0.3">
      <c r="A48" s="51" t="s">
        <v>70</v>
      </c>
      <c r="B48" s="54">
        <v>106938.02</v>
      </c>
    </row>
    <row r="49" spans="1:2" x14ac:dyDescent="0.3">
      <c r="A49" s="52" t="s">
        <v>42</v>
      </c>
      <c r="B49" s="54">
        <v>106938.02</v>
      </c>
    </row>
    <row r="50" spans="1:2" x14ac:dyDescent="0.3">
      <c r="A50" s="51" t="s">
        <v>115</v>
      </c>
      <c r="B50" s="54">
        <v>0</v>
      </c>
    </row>
    <row r="51" spans="1:2" x14ac:dyDescent="0.3">
      <c r="A51" s="52" t="s">
        <v>35</v>
      </c>
      <c r="B51" s="54">
        <v>0</v>
      </c>
    </row>
    <row r="52" spans="1:2" x14ac:dyDescent="0.3">
      <c r="A52" s="57" t="s">
        <v>249</v>
      </c>
      <c r="B52" s="58">
        <v>79522384.520000011</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032C5-D5BA-442C-8773-4B03F6BA5306}">
  <sheetPr>
    <tabColor theme="9" tint="0.59999389629810485"/>
  </sheetPr>
  <dimension ref="A1:V63"/>
  <sheetViews>
    <sheetView showGridLines="0" showRowColHeaders="0" tabSelected="1" topLeftCell="A22" zoomScale="70" zoomScaleNormal="70" workbookViewId="0">
      <selection activeCell="AA20" sqref="AA20"/>
    </sheetView>
  </sheetViews>
  <sheetFormatPr defaultRowHeight="14.4" x14ac:dyDescent="0.3"/>
  <cols>
    <col min="1" max="4" width="8.77734375" style="67" customWidth="1"/>
    <col min="5" max="5" width="2.77734375" style="67" customWidth="1"/>
    <col min="6" max="9" width="8.77734375" style="67" customWidth="1"/>
    <col min="10" max="10" width="2.77734375" style="67" customWidth="1"/>
    <col min="11" max="14" width="8.77734375" style="67" customWidth="1"/>
    <col min="15" max="15" width="2.77734375" style="67" customWidth="1"/>
    <col min="16" max="40" width="8.77734375" style="67" customWidth="1"/>
    <col min="41" max="16384" width="8.88671875" style="67"/>
  </cols>
  <sheetData>
    <row r="1" spans="1:19" ht="60" customHeight="1" x14ac:dyDescent="0.3">
      <c r="A1" s="119" t="s">
        <v>273</v>
      </c>
      <c r="B1" s="119"/>
      <c r="C1" s="119"/>
      <c r="D1" s="119"/>
      <c r="E1" s="119"/>
      <c r="F1" s="119"/>
      <c r="G1" s="119"/>
      <c r="H1" s="119"/>
      <c r="I1" s="119"/>
      <c r="J1" s="119"/>
      <c r="K1" s="119"/>
      <c r="L1" s="119"/>
      <c r="M1" s="119"/>
      <c r="N1" s="119"/>
      <c r="O1" s="119"/>
      <c r="P1" s="119"/>
      <c r="Q1" s="119"/>
      <c r="R1" s="119"/>
    </row>
    <row r="2" spans="1:19" ht="18" customHeight="1" x14ac:dyDescent="0.3">
      <c r="A2" s="120" t="s">
        <v>260</v>
      </c>
      <c r="B2" s="120"/>
      <c r="C2" s="120"/>
      <c r="D2" s="120"/>
      <c r="E2" s="120"/>
      <c r="F2" s="120"/>
      <c r="G2" s="120"/>
      <c r="H2" s="120"/>
      <c r="I2" s="120"/>
      <c r="J2" s="120"/>
      <c r="K2" s="120"/>
      <c r="L2" s="120"/>
      <c r="M2" s="120"/>
      <c r="N2" s="120"/>
      <c r="O2" s="120"/>
      <c r="P2" s="120"/>
      <c r="Q2" s="120"/>
      <c r="R2" s="120"/>
    </row>
    <row r="3" spans="1:19" ht="18" customHeight="1" thickBot="1" x14ac:dyDescent="0.35">
      <c r="A3" s="121" t="s">
        <v>261</v>
      </c>
      <c r="B3" s="121"/>
      <c r="C3" s="121"/>
      <c r="D3" s="121"/>
      <c r="E3" s="122"/>
      <c r="F3" s="121"/>
      <c r="G3" s="121"/>
      <c r="H3" s="121"/>
      <c r="I3" s="121"/>
      <c r="J3" s="122"/>
      <c r="K3" s="121"/>
      <c r="L3" s="121"/>
      <c r="M3" s="121"/>
      <c r="N3" s="121"/>
      <c r="O3" s="122"/>
      <c r="P3" s="121"/>
      <c r="Q3" s="121"/>
      <c r="R3" s="121"/>
    </row>
    <row r="4" spans="1:19" ht="18" customHeight="1" thickTop="1" x14ac:dyDescent="0.3">
      <c r="A4" s="123">
        <f>SUM(ANALYSIS!J4:J78)</f>
        <v>205452104.99999991</v>
      </c>
      <c r="B4" s="124"/>
      <c r="C4" s="124"/>
      <c r="D4" s="125"/>
      <c r="E4" s="74"/>
      <c r="F4" s="135">
        <f>SUMIF(ANALYSIS!I4:I78,"🔴 Dead (90+ Days)",ANALYSIS!J4:J78)+SUMIF(ANALYSIS!I4:I78,"🔴 Dead - No Sale",ANALYSIS!J4:J78)</f>
        <v>91673984.170000002</v>
      </c>
      <c r="G4" s="136"/>
      <c r="H4" s="136"/>
      <c r="I4" s="137"/>
      <c r="J4" s="74"/>
      <c r="K4" s="147">
        <f>COUNTIF(ANALYSIS!I4:I78,"🔴 Dead (90+ Days)")</f>
        <v>24</v>
      </c>
      <c r="L4" s="148"/>
      <c r="M4" s="148"/>
      <c r="N4" s="149"/>
      <c r="O4" s="74"/>
      <c r="P4" s="107">
        <f>(SUMIF(ANALYSIS!I4:I78,"🔴 Dead (90+ Days)",ANALYSIS!J4:J78)+SUMIF(ANALYSIS!I4:I78,"🔴 Dead - No Sale",ANALYSIS!J4:J78))/SUM(ANALYSIS!J4:J78)</f>
        <v>0.44620610808538586</v>
      </c>
      <c r="Q4" s="108"/>
      <c r="R4" s="109"/>
      <c r="S4" s="71"/>
    </row>
    <row r="5" spans="1:19" ht="18" customHeight="1" x14ac:dyDescent="0.3">
      <c r="A5" s="126"/>
      <c r="B5" s="127"/>
      <c r="C5" s="127"/>
      <c r="D5" s="128"/>
      <c r="E5" s="70"/>
      <c r="F5" s="138"/>
      <c r="G5" s="139"/>
      <c r="H5" s="139"/>
      <c r="I5" s="140"/>
      <c r="J5" s="74"/>
      <c r="K5" s="150"/>
      <c r="L5" s="151"/>
      <c r="M5" s="151"/>
      <c r="N5" s="152"/>
      <c r="O5" s="74"/>
      <c r="P5" s="110"/>
      <c r="Q5" s="111"/>
      <c r="R5" s="112"/>
      <c r="S5" s="71"/>
    </row>
    <row r="6" spans="1:19" ht="18" customHeight="1" x14ac:dyDescent="0.3">
      <c r="A6" s="126"/>
      <c r="B6" s="127"/>
      <c r="C6" s="127"/>
      <c r="D6" s="128"/>
      <c r="F6" s="138"/>
      <c r="G6" s="139"/>
      <c r="H6" s="139"/>
      <c r="I6" s="140"/>
      <c r="J6" s="74"/>
      <c r="K6" s="150"/>
      <c r="L6" s="151"/>
      <c r="M6" s="151"/>
      <c r="N6" s="152"/>
      <c r="O6" s="74"/>
      <c r="P6" s="110"/>
      <c r="Q6" s="111"/>
      <c r="R6" s="112"/>
      <c r="S6" s="71"/>
    </row>
    <row r="7" spans="1:19" ht="18" customHeight="1" x14ac:dyDescent="0.3">
      <c r="A7" s="126"/>
      <c r="B7" s="127"/>
      <c r="C7" s="127"/>
      <c r="D7" s="128"/>
      <c r="F7" s="138"/>
      <c r="G7" s="139"/>
      <c r="H7" s="139"/>
      <c r="I7" s="140"/>
      <c r="J7" s="74"/>
      <c r="K7" s="150"/>
      <c r="L7" s="151"/>
      <c r="M7" s="151"/>
      <c r="N7" s="152"/>
      <c r="O7" s="74"/>
      <c r="P7" s="110"/>
      <c r="Q7" s="111"/>
      <c r="R7" s="112"/>
      <c r="S7" s="71"/>
    </row>
    <row r="8" spans="1:19" ht="18" customHeight="1" thickBot="1" x14ac:dyDescent="0.35">
      <c r="A8" s="129"/>
      <c r="B8" s="130"/>
      <c r="C8" s="130"/>
      <c r="D8" s="131"/>
      <c r="F8" s="141"/>
      <c r="G8" s="142"/>
      <c r="H8" s="142"/>
      <c r="I8" s="143"/>
      <c r="J8" s="74"/>
      <c r="K8" s="153"/>
      <c r="L8" s="154"/>
      <c r="M8" s="154"/>
      <c r="N8" s="155"/>
      <c r="O8" s="74"/>
      <c r="P8" s="113"/>
      <c r="Q8" s="114"/>
      <c r="R8" s="115"/>
      <c r="S8" s="71"/>
    </row>
    <row r="9" spans="1:19" ht="18" customHeight="1" thickTop="1" thickBot="1" x14ac:dyDescent="0.35">
      <c r="A9" s="132" t="s">
        <v>264</v>
      </c>
      <c r="B9" s="133"/>
      <c r="C9" s="133"/>
      <c r="D9" s="134"/>
      <c r="E9" s="74"/>
      <c r="F9" s="144" t="s">
        <v>262</v>
      </c>
      <c r="G9" s="145"/>
      <c r="H9" s="145"/>
      <c r="I9" s="146"/>
      <c r="J9" s="74"/>
      <c r="K9" s="144" t="s">
        <v>263</v>
      </c>
      <c r="L9" s="145"/>
      <c r="M9" s="145"/>
      <c r="N9" s="146"/>
      <c r="O9" s="74"/>
      <c r="P9" s="116" t="s">
        <v>265</v>
      </c>
      <c r="Q9" s="117"/>
      <c r="R9" s="118"/>
      <c r="S9" s="72"/>
    </row>
    <row r="10" spans="1:19" ht="18" customHeight="1" thickTop="1" x14ac:dyDescent="0.3">
      <c r="D10" s="70"/>
      <c r="K10" s="70"/>
      <c r="P10" s="70"/>
      <c r="Q10" s="68"/>
      <c r="R10" s="73"/>
    </row>
    <row r="11" spans="1:19" ht="18" customHeight="1" x14ac:dyDescent="0.3">
      <c r="A11" s="88"/>
      <c r="B11" s="88"/>
    </row>
    <row r="12" spans="1:19" ht="18" customHeight="1" x14ac:dyDescent="0.3">
      <c r="A12" s="88"/>
      <c r="B12" s="88"/>
    </row>
    <row r="13" spans="1:19" ht="18" customHeight="1" x14ac:dyDescent="0.3"/>
    <row r="14" spans="1:19" ht="18" customHeight="1" x14ac:dyDescent="0.3">
      <c r="C14" s="92"/>
      <c r="I14" s="69"/>
    </row>
    <row r="15" spans="1:19" ht="18" customHeight="1" x14ac:dyDescent="0.3">
      <c r="C15" s="92"/>
    </row>
    <row r="16" spans="1:19" ht="18" customHeight="1" x14ac:dyDescent="0.3">
      <c r="C16" s="92"/>
    </row>
    <row r="17" spans="1:22" ht="18" customHeight="1" x14ac:dyDescent="0.3">
      <c r="C17" s="92"/>
    </row>
    <row r="18" spans="1:22" ht="18" customHeight="1" x14ac:dyDescent="0.3">
      <c r="C18" s="92"/>
    </row>
    <row r="19" spans="1:22" ht="18" customHeight="1" x14ac:dyDescent="0.3">
      <c r="A19" s="75"/>
      <c r="B19" s="75"/>
    </row>
    <row r="20" spans="1:22" ht="18" customHeight="1" x14ac:dyDescent="0.3">
      <c r="C20" s="70"/>
    </row>
    <row r="21" spans="1:22" ht="18" customHeight="1" x14ac:dyDescent="0.3"/>
    <row r="22" spans="1:22" ht="18" customHeight="1" x14ac:dyDescent="0.3"/>
    <row r="23" spans="1:22" ht="18" customHeight="1" x14ac:dyDescent="0.3"/>
    <row r="24" spans="1:22" ht="18" customHeight="1" x14ac:dyDescent="0.3">
      <c r="C24" s="70"/>
      <c r="V24"/>
    </row>
    <row r="25" spans="1:22" ht="18" customHeight="1" x14ac:dyDescent="0.3"/>
    <row r="26" spans="1:22" ht="18" customHeight="1" x14ac:dyDescent="0.3">
      <c r="A26" s="88"/>
      <c r="B26" s="88"/>
    </row>
    <row r="27" spans="1:22" ht="18" customHeight="1" x14ac:dyDescent="0.3">
      <c r="A27" s="88"/>
      <c r="B27" s="88"/>
    </row>
    <row r="28" spans="1:22" ht="18" customHeight="1" x14ac:dyDescent="0.3">
      <c r="V28" s="87"/>
    </row>
    <row r="29" spans="1:22" ht="22.05" customHeight="1" thickBot="1" x14ac:dyDescent="0.35">
      <c r="A29" s="97" t="s">
        <v>280</v>
      </c>
      <c r="B29" s="97"/>
      <c r="C29" s="97"/>
      <c r="D29" s="97"/>
      <c r="E29" s="97"/>
      <c r="F29" s="97"/>
      <c r="G29" s="97"/>
      <c r="H29" s="97"/>
      <c r="I29" s="97"/>
      <c r="J29" s="97"/>
      <c r="K29" s="97"/>
      <c r="L29" s="97"/>
      <c r="M29" s="97"/>
      <c r="N29" s="97"/>
      <c r="O29" s="97"/>
      <c r="P29" s="97"/>
      <c r="Q29" s="97"/>
      <c r="R29" s="97"/>
      <c r="S29" s="97"/>
      <c r="V29" s="87"/>
    </row>
    <row r="30" spans="1:22" ht="18" customHeight="1" x14ac:dyDescent="0.3">
      <c r="A30" s="98" t="s">
        <v>284</v>
      </c>
      <c r="B30" s="99"/>
      <c r="C30" s="99"/>
      <c r="D30" s="99"/>
      <c r="E30" s="99"/>
      <c r="F30" s="99"/>
      <c r="G30" s="99"/>
      <c r="H30" s="99"/>
      <c r="I30" s="99"/>
      <c r="J30" s="99"/>
      <c r="K30" s="99"/>
      <c r="L30" s="99"/>
      <c r="M30" s="99"/>
      <c r="N30" s="99"/>
      <c r="O30" s="99"/>
      <c r="P30" s="99"/>
      <c r="Q30" s="99"/>
      <c r="R30" s="99"/>
      <c r="S30" s="100"/>
      <c r="V30"/>
    </row>
    <row r="31" spans="1:22" x14ac:dyDescent="0.3">
      <c r="A31" s="101"/>
      <c r="B31" s="102"/>
      <c r="C31" s="102"/>
      <c r="D31" s="102"/>
      <c r="E31" s="102"/>
      <c r="F31" s="102"/>
      <c r="G31" s="102"/>
      <c r="H31" s="102"/>
      <c r="I31" s="102"/>
      <c r="J31" s="102"/>
      <c r="K31" s="102"/>
      <c r="L31" s="102"/>
      <c r="M31" s="102"/>
      <c r="N31" s="102"/>
      <c r="O31" s="102"/>
      <c r="P31" s="102"/>
      <c r="Q31" s="102"/>
      <c r="R31" s="102"/>
      <c r="S31" s="103"/>
      <c r="V31" s="87"/>
    </row>
    <row r="32" spans="1:22" x14ac:dyDescent="0.3">
      <c r="A32" s="101"/>
      <c r="B32" s="102"/>
      <c r="C32" s="102"/>
      <c r="D32" s="102"/>
      <c r="E32" s="102"/>
      <c r="F32" s="102"/>
      <c r="G32" s="102"/>
      <c r="H32" s="102"/>
      <c r="I32" s="102"/>
      <c r="J32" s="102"/>
      <c r="K32" s="102"/>
      <c r="L32" s="102"/>
      <c r="M32" s="102"/>
      <c r="N32" s="102"/>
      <c r="O32" s="102"/>
      <c r="P32" s="102"/>
      <c r="Q32" s="102"/>
      <c r="R32" s="102"/>
      <c r="S32" s="103"/>
      <c r="V32" s="87"/>
    </row>
    <row r="33" spans="1:22" x14ac:dyDescent="0.3">
      <c r="A33" s="101"/>
      <c r="B33" s="102"/>
      <c r="C33" s="102"/>
      <c r="D33" s="102"/>
      <c r="E33" s="102"/>
      <c r="F33" s="102"/>
      <c r="G33" s="102"/>
      <c r="H33" s="102"/>
      <c r="I33" s="102"/>
      <c r="J33" s="102"/>
      <c r="K33" s="102"/>
      <c r="L33" s="102"/>
      <c r="M33" s="102"/>
      <c r="N33" s="102"/>
      <c r="O33" s="102"/>
      <c r="P33" s="102"/>
      <c r="Q33" s="102"/>
      <c r="R33" s="102"/>
      <c r="S33" s="103"/>
      <c r="V33"/>
    </row>
    <row r="34" spans="1:22" x14ac:dyDescent="0.3">
      <c r="A34" s="101"/>
      <c r="B34" s="102"/>
      <c r="C34" s="102"/>
      <c r="D34" s="102"/>
      <c r="E34" s="102"/>
      <c r="F34" s="102"/>
      <c r="G34" s="102"/>
      <c r="H34" s="102"/>
      <c r="I34" s="102"/>
      <c r="J34" s="102"/>
      <c r="K34" s="102"/>
      <c r="L34" s="102"/>
      <c r="M34" s="102"/>
      <c r="N34" s="102"/>
      <c r="O34" s="102"/>
      <c r="P34" s="102"/>
      <c r="Q34" s="102"/>
      <c r="R34" s="102"/>
      <c r="S34" s="103"/>
      <c r="V34" s="87"/>
    </row>
    <row r="35" spans="1:22" x14ac:dyDescent="0.3">
      <c r="A35" s="101"/>
      <c r="B35" s="102"/>
      <c r="C35" s="102"/>
      <c r="D35" s="102"/>
      <c r="E35" s="102"/>
      <c r="F35" s="102"/>
      <c r="G35" s="102"/>
      <c r="H35" s="102"/>
      <c r="I35" s="102"/>
      <c r="J35" s="102"/>
      <c r="K35" s="102"/>
      <c r="L35" s="102"/>
      <c r="M35" s="102"/>
      <c r="N35" s="102"/>
      <c r="O35" s="102"/>
      <c r="P35" s="102"/>
      <c r="Q35" s="102"/>
      <c r="R35" s="102"/>
      <c r="S35" s="103"/>
      <c r="V35" s="87"/>
    </row>
    <row r="36" spans="1:22" x14ac:dyDescent="0.3">
      <c r="A36" s="101"/>
      <c r="B36" s="102"/>
      <c r="C36" s="102"/>
      <c r="D36" s="102"/>
      <c r="E36" s="102"/>
      <c r="F36" s="102"/>
      <c r="G36" s="102"/>
      <c r="H36" s="102"/>
      <c r="I36" s="102"/>
      <c r="J36" s="102"/>
      <c r="K36" s="102"/>
      <c r="L36" s="102"/>
      <c r="M36" s="102"/>
      <c r="N36" s="102"/>
      <c r="O36" s="102"/>
      <c r="P36" s="102"/>
      <c r="Q36" s="102"/>
      <c r="R36" s="102"/>
      <c r="S36" s="103"/>
      <c r="V36"/>
    </row>
    <row r="37" spans="1:22" x14ac:dyDescent="0.3">
      <c r="A37" s="101"/>
      <c r="B37" s="102"/>
      <c r="C37" s="102"/>
      <c r="D37" s="102"/>
      <c r="E37" s="102"/>
      <c r="F37" s="102"/>
      <c r="G37" s="102"/>
      <c r="H37" s="102"/>
      <c r="I37" s="102"/>
      <c r="J37" s="102"/>
      <c r="K37" s="102"/>
      <c r="L37" s="102"/>
      <c r="M37" s="102"/>
      <c r="N37" s="102"/>
      <c r="O37" s="102"/>
      <c r="P37" s="102"/>
      <c r="Q37" s="102"/>
      <c r="R37" s="102"/>
      <c r="S37" s="103"/>
      <c r="V37" s="87"/>
    </row>
    <row r="38" spans="1:22" x14ac:dyDescent="0.3">
      <c r="A38" s="101"/>
      <c r="B38" s="102"/>
      <c r="C38" s="102"/>
      <c r="D38" s="102"/>
      <c r="E38" s="102"/>
      <c r="F38" s="102"/>
      <c r="G38" s="102"/>
      <c r="H38" s="102"/>
      <c r="I38" s="102"/>
      <c r="J38" s="102"/>
      <c r="K38" s="102"/>
      <c r="L38" s="102"/>
      <c r="M38" s="102"/>
      <c r="N38" s="102"/>
      <c r="O38" s="102"/>
      <c r="P38" s="102"/>
      <c r="Q38" s="102"/>
      <c r="R38" s="102"/>
      <c r="S38" s="103"/>
      <c r="V38" s="87"/>
    </row>
    <row r="39" spans="1:22" x14ac:dyDescent="0.3">
      <c r="A39" s="101"/>
      <c r="B39" s="102"/>
      <c r="C39" s="102"/>
      <c r="D39" s="102"/>
      <c r="E39" s="102"/>
      <c r="F39" s="102"/>
      <c r="G39" s="102"/>
      <c r="H39" s="102"/>
      <c r="I39" s="102"/>
      <c r="J39" s="102"/>
      <c r="K39" s="102"/>
      <c r="L39" s="102"/>
      <c r="M39" s="102"/>
      <c r="N39" s="102"/>
      <c r="O39" s="102"/>
      <c r="P39" s="102"/>
      <c r="Q39" s="102"/>
      <c r="R39" s="102"/>
      <c r="S39" s="103"/>
      <c r="V39"/>
    </row>
    <row r="40" spans="1:22" x14ac:dyDescent="0.3">
      <c r="A40" s="101"/>
      <c r="B40" s="102"/>
      <c r="C40" s="102"/>
      <c r="D40" s="102"/>
      <c r="E40" s="102"/>
      <c r="F40" s="102"/>
      <c r="G40" s="102"/>
      <c r="H40" s="102"/>
      <c r="I40" s="102"/>
      <c r="J40" s="102"/>
      <c r="K40" s="102"/>
      <c r="L40" s="102"/>
      <c r="M40" s="102"/>
      <c r="N40" s="102"/>
      <c r="O40" s="102"/>
      <c r="P40" s="102"/>
      <c r="Q40" s="102"/>
      <c r="R40" s="102"/>
      <c r="S40" s="103"/>
      <c r="V40" s="87"/>
    </row>
    <row r="41" spans="1:22" x14ac:dyDescent="0.3">
      <c r="A41" s="101"/>
      <c r="B41" s="102"/>
      <c r="C41" s="102"/>
      <c r="D41" s="102"/>
      <c r="E41" s="102"/>
      <c r="F41" s="102"/>
      <c r="G41" s="102"/>
      <c r="H41" s="102"/>
      <c r="I41" s="102"/>
      <c r="J41" s="102"/>
      <c r="K41" s="102"/>
      <c r="L41" s="102"/>
      <c r="M41" s="102"/>
      <c r="N41" s="102"/>
      <c r="O41" s="102"/>
      <c r="P41" s="102"/>
      <c r="Q41" s="102"/>
      <c r="R41" s="102"/>
      <c r="S41" s="103"/>
      <c r="V41" s="87"/>
    </row>
    <row r="42" spans="1:22" x14ac:dyDescent="0.3">
      <c r="A42" s="101"/>
      <c r="B42" s="102"/>
      <c r="C42" s="102"/>
      <c r="D42" s="102"/>
      <c r="E42" s="102"/>
      <c r="F42" s="102"/>
      <c r="G42" s="102"/>
      <c r="H42" s="102"/>
      <c r="I42" s="102"/>
      <c r="J42" s="102"/>
      <c r="K42" s="102"/>
      <c r="L42" s="102"/>
      <c r="M42" s="102"/>
      <c r="N42" s="102"/>
      <c r="O42" s="102"/>
      <c r="P42" s="102"/>
      <c r="Q42" s="102"/>
      <c r="R42" s="102"/>
      <c r="S42" s="103"/>
      <c r="V42"/>
    </row>
    <row r="43" spans="1:22" x14ac:dyDescent="0.3">
      <c r="A43" s="101"/>
      <c r="B43" s="102"/>
      <c r="C43" s="102"/>
      <c r="D43" s="102"/>
      <c r="E43" s="102"/>
      <c r="F43" s="102"/>
      <c r="G43" s="102"/>
      <c r="H43" s="102"/>
      <c r="I43" s="102"/>
      <c r="J43" s="102"/>
      <c r="K43" s="102"/>
      <c r="L43" s="102"/>
      <c r="M43" s="102"/>
      <c r="N43" s="102"/>
      <c r="O43" s="102"/>
      <c r="P43" s="102"/>
      <c r="Q43" s="102"/>
      <c r="R43" s="102"/>
      <c r="S43" s="103"/>
      <c r="V43" s="87"/>
    </row>
    <row r="44" spans="1:22" x14ac:dyDescent="0.3">
      <c r="A44" s="101"/>
      <c r="B44" s="102"/>
      <c r="C44" s="102"/>
      <c r="D44" s="102"/>
      <c r="E44" s="102"/>
      <c r="F44" s="102"/>
      <c r="G44" s="102"/>
      <c r="H44" s="102"/>
      <c r="I44" s="102"/>
      <c r="J44" s="102"/>
      <c r="K44" s="102"/>
      <c r="L44" s="102"/>
      <c r="M44" s="102"/>
      <c r="N44" s="102"/>
      <c r="O44" s="102"/>
      <c r="P44" s="102"/>
      <c r="Q44" s="102"/>
      <c r="R44" s="102"/>
      <c r="S44" s="103"/>
      <c r="V44" s="87"/>
    </row>
    <row r="45" spans="1:22" x14ac:dyDescent="0.3">
      <c r="A45" s="101"/>
      <c r="B45" s="102"/>
      <c r="C45" s="102"/>
      <c r="D45" s="102"/>
      <c r="E45" s="102"/>
      <c r="F45" s="102"/>
      <c r="G45" s="102"/>
      <c r="H45" s="102"/>
      <c r="I45" s="102"/>
      <c r="J45" s="102"/>
      <c r="K45" s="102"/>
      <c r="L45" s="102"/>
      <c r="M45" s="102"/>
      <c r="N45" s="102"/>
      <c r="O45" s="102"/>
      <c r="P45" s="102"/>
      <c r="Q45" s="102"/>
      <c r="R45" s="102"/>
      <c r="S45" s="103"/>
      <c r="V45"/>
    </row>
    <row r="46" spans="1:22" x14ac:dyDescent="0.3">
      <c r="A46" s="101"/>
      <c r="B46" s="102"/>
      <c r="C46" s="102"/>
      <c r="D46" s="102"/>
      <c r="E46" s="102"/>
      <c r="F46" s="102"/>
      <c r="G46" s="102"/>
      <c r="H46" s="102"/>
      <c r="I46" s="102"/>
      <c r="J46" s="102"/>
      <c r="K46" s="102"/>
      <c r="L46" s="102"/>
      <c r="M46" s="102"/>
      <c r="N46" s="102"/>
      <c r="O46" s="102"/>
      <c r="P46" s="102"/>
      <c r="Q46" s="102"/>
      <c r="R46" s="102"/>
      <c r="S46" s="103"/>
      <c r="V46" s="87"/>
    </row>
    <row r="47" spans="1:22" x14ac:dyDescent="0.3">
      <c r="A47" s="101"/>
      <c r="B47" s="102"/>
      <c r="C47" s="102"/>
      <c r="D47" s="102"/>
      <c r="E47" s="102"/>
      <c r="F47" s="102"/>
      <c r="G47" s="102"/>
      <c r="H47" s="102"/>
      <c r="I47" s="102"/>
      <c r="J47" s="102"/>
      <c r="K47" s="102"/>
      <c r="L47" s="102"/>
      <c r="M47" s="102"/>
      <c r="N47" s="102"/>
      <c r="O47" s="102"/>
      <c r="P47" s="102"/>
      <c r="Q47" s="102"/>
      <c r="R47" s="102"/>
      <c r="S47" s="103"/>
      <c r="V47" s="87"/>
    </row>
    <row r="48" spans="1:22" x14ac:dyDescent="0.3">
      <c r="A48" s="101"/>
      <c r="B48" s="102"/>
      <c r="C48" s="102"/>
      <c r="D48" s="102"/>
      <c r="E48" s="102"/>
      <c r="F48" s="102"/>
      <c r="G48" s="102"/>
      <c r="H48" s="102"/>
      <c r="I48" s="102"/>
      <c r="J48" s="102"/>
      <c r="K48" s="102"/>
      <c r="L48" s="102"/>
      <c r="M48" s="102"/>
      <c r="N48" s="102"/>
      <c r="O48" s="102"/>
      <c r="P48" s="102"/>
      <c r="Q48" s="102"/>
      <c r="R48" s="102"/>
      <c r="S48" s="103"/>
      <c r="V48"/>
    </row>
    <row r="49" spans="1:22" x14ac:dyDescent="0.3">
      <c r="A49" s="101"/>
      <c r="B49" s="102"/>
      <c r="C49" s="102"/>
      <c r="D49" s="102"/>
      <c r="E49" s="102"/>
      <c r="F49" s="102"/>
      <c r="G49" s="102"/>
      <c r="H49" s="102"/>
      <c r="I49" s="102"/>
      <c r="J49" s="102"/>
      <c r="K49" s="102"/>
      <c r="L49" s="102"/>
      <c r="M49" s="102"/>
      <c r="N49" s="102"/>
      <c r="O49" s="102"/>
      <c r="P49" s="102"/>
      <c r="Q49" s="102"/>
      <c r="R49" s="102"/>
      <c r="S49" s="103"/>
      <c r="V49"/>
    </row>
    <row r="50" spans="1:22" x14ac:dyDescent="0.3">
      <c r="A50" s="101"/>
      <c r="B50" s="102"/>
      <c r="C50" s="102"/>
      <c r="D50" s="102"/>
      <c r="E50" s="102"/>
      <c r="F50" s="102"/>
      <c r="G50" s="102"/>
      <c r="H50" s="102"/>
      <c r="I50" s="102"/>
      <c r="J50" s="102"/>
      <c r="K50" s="102"/>
      <c r="L50" s="102"/>
      <c r="M50" s="102"/>
      <c r="N50" s="102"/>
      <c r="O50" s="102"/>
      <c r="P50" s="102"/>
      <c r="Q50" s="102"/>
      <c r="R50" s="102"/>
      <c r="S50" s="103"/>
      <c r="V50" s="87"/>
    </row>
    <row r="51" spans="1:22" x14ac:dyDescent="0.3">
      <c r="A51" s="101"/>
      <c r="B51" s="102"/>
      <c r="C51" s="102"/>
      <c r="D51" s="102"/>
      <c r="E51" s="102"/>
      <c r="F51" s="102"/>
      <c r="G51" s="102"/>
      <c r="H51" s="102"/>
      <c r="I51" s="102"/>
      <c r="J51" s="102"/>
      <c r="K51" s="102"/>
      <c r="L51" s="102"/>
      <c r="M51" s="102"/>
      <c r="N51" s="102"/>
      <c r="O51" s="102"/>
      <c r="P51" s="102"/>
      <c r="Q51" s="102"/>
      <c r="R51" s="102"/>
      <c r="S51" s="103"/>
    </row>
    <row r="52" spans="1:22" x14ac:dyDescent="0.3">
      <c r="A52" s="101"/>
      <c r="B52" s="102"/>
      <c r="C52" s="102"/>
      <c r="D52" s="102"/>
      <c r="E52" s="102"/>
      <c r="F52" s="102"/>
      <c r="G52" s="102"/>
      <c r="H52" s="102"/>
      <c r="I52" s="102"/>
      <c r="J52" s="102"/>
      <c r="K52" s="102"/>
      <c r="L52" s="102"/>
      <c r="M52" s="102"/>
      <c r="N52" s="102"/>
      <c r="O52" s="102"/>
      <c r="P52" s="102"/>
      <c r="Q52" s="102"/>
      <c r="R52" s="102"/>
      <c r="S52" s="103"/>
    </row>
    <row r="53" spans="1:22" x14ac:dyDescent="0.3">
      <c r="A53" s="101"/>
      <c r="B53" s="102"/>
      <c r="C53" s="102"/>
      <c r="D53" s="102"/>
      <c r="E53" s="102"/>
      <c r="F53" s="102"/>
      <c r="G53" s="102"/>
      <c r="H53" s="102"/>
      <c r="I53" s="102"/>
      <c r="J53" s="102"/>
      <c r="K53" s="102"/>
      <c r="L53" s="102"/>
      <c r="M53" s="102"/>
      <c r="N53" s="102"/>
      <c r="O53" s="102"/>
      <c r="P53" s="102"/>
      <c r="Q53" s="102"/>
      <c r="R53" s="102"/>
      <c r="S53" s="103"/>
    </row>
    <row r="54" spans="1:22" x14ac:dyDescent="0.3">
      <c r="A54" s="101"/>
      <c r="B54" s="102"/>
      <c r="C54" s="102"/>
      <c r="D54" s="102"/>
      <c r="E54" s="102"/>
      <c r="F54" s="102"/>
      <c r="G54" s="102"/>
      <c r="H54" s="102"/>
      <c r="I54" s="102"/>
      <c r="J54" s="102"/>
      <c r="K54" s="102"/>
      <c r="L54" s="102"/>
      <c r="M54" s="102"/>
      <c r="N54" s="102"/>
      <c r="O54" s="102"/>
      <c r="P54" s="102"/>
      <c r="Q54" s="102"/>
      <c r="R54" s="102"/>
      <c r="S54" s="103"/>
    </row>
    <row r="55" spans="1:22" x14ac:dyDescent="0.3">
      <c r="A55" s="101"/>
      <c r="B55" s="102"/>
      <c r="C55" s="102"/>
      <c r="D55" s="102"/>
      <c r="E55" s="102"/>
      <c r="F55" s="102"/>
      <c r="G55" s="102"/>
      <c r="H55" s="102"/>
      <c r="I55" s="102"/>
      <c r="J55" s="102"/>
      <c r="K55" s="102"/>
      <c r="L55" s="102"/>
      <c r="M55" s="102"/>
      <c r="N55" s="102"/>
      <c r="O55" s="102"/>
      <c r="P55" s="102"/>
      <c r="Q55" s="102"/>
      <c r="R55" s="102"/>
      <c r="S55" s="103"/>
    </row>
    <row r="56" spans="1:22" x14ac:dyDescent="0.3">
      <c r="A56" s="101"/>
      <c r="B56" s="102"/>
      <c r="C56" s="102"/>
      <c r="D56" s="102"/>
      <c r="E56" s="102"/>
      <c r="F56" s="102"/>
      <c r="G56" s="102"/>
      <c r="H56" s="102"/>
      <c r="I56" s="102"/>
      <c r="J56" s="102"/>
      <c r="K56" s="102"/>
      <c r="L56" s="102"/>
      <c r="M56" s="102"/>
      <c r="N56" s="102"/>
      <c r="O56" s="102"/>
      <c r="P56" s="102"/>
      <c r="Q56" s="102"/>
      <c r="R56" s="102"/>
      <c r="S56" s="103"/>
    </row>
    <row r="57" spans="1:22" x14ac:dyDescent="0.3">
      <c r="A57" s="101"/>
      <c r="B57" s="102"/>
      <c r="C57" s="102"/>
      <c r="D57" s="102"/>
      <c r="E57" s="102"/>
      <c r="F57" s="102"/>
      <c r="G57" s="102"/>
      <c r="H57" s="102"/>
      <c r="I57" s="102"/>
      <c r="J57" s="102"/>
      <c r="K57" s="102"/>
      <c r="L57" s="102"/>
      <c r="M57" s="102"/>
      <c r="N57" s="102"/>
      <c r="O57" s="102"/>
      <c r="P57" s="102"/>
      <c r="Q57" s="102"/>
      <c r="R57" s="102"/>
      <c r="S57" s="103"/>
    </row>
    <row r="58" spans="1:22" x14ac:dyDescent="0.3">
      <c r="A58" s="101"/>
      <c r="B58" s="102"/>
      <c r="C58" s="102"/>
      <c r="D58" s="102"/>
      <c r="E58" s="102"/>
      <c r="F58" s="102"/>
      <c r="G58" s="102"/>
      <c r="H58" s="102"/>
      <c r="I58" s="102"/>
      <c r="J58" s="102"/>
      <c r="K58" s="102"/>
      <c r="L58" s="102"/>
      <c r="M58" s="102"/>
      <c r="N58" s="102"/>
      <c r="O58" s="102"/>
      <c r="P58" s="102"/>
      <c r="Q58" s="102"/>
      <c r="R58" s="102"/>
      <c r="S58" s="103"/>
    </row>
    <row r="59" spans="1:22" ht="15" thickBot="1" x14ac:dyDescent="0.35">
      <c r="A59" s="104"/>
      <c r="B59" s="105"/>
      <c r="C59" s="105"/>
      <c r="D59" s="105"/>
      <c r="E59" s="105"/>
      <c r="F59" s="105"/>
      <c r="G59" s="105"/>
      <c r="H59" s="105"/>
      <c r="I59" s="105"/>
      <c r="J59" s="105"/>
      <c r="K59" s="105"/>
      <c r="L59" s="105"/>
      <c r="M59" s="105"/>
      <c r="N59" s="105"/>
      <c r="O59" s="105"/>
      <c r="P59" s="105"/>
      <c r="Q59" s="105"/>
      <c r="R59" s="105"/>
      <c r="S59" s="106"/>
    </row>
    <row r="63" spans="1:22" x14ac:dyDescent="0.3">
      <c r="A63" s="94" t="s">
        <v>282</v>
      </c>
      <c r="B63" s="95"/>
      <c r="C63" s="95"/>
      <c r="D63" s="95"/>
      <c r="E63" s="95"/>
      <c r="F63" s="95"/>
      <c r="G63" s="95"/>
      <c r="H63" s="95"/>
      <c r="I63" s="95"/>
      <c r="J63" s="95"/>
      <c r="K63" s="95"/>
      <c r="L63" s="95"/>
      <c r="M63" s="95"/>
      <c r="N63" s="95"/>
      <c r="O63" s="95"/>
      <c r="P63" s="95"/>
      <c r="Q63" s="95"/>
      <c r="R63" s="95"/>
      <c r="S63" s="96"/>
    </row>
  </sheetData>
  <mergeCells count="14">
    <mergeCell ref="A1:R1"/>
    <mergeCell ref="A2:R2"/>
    <mergeCell ref="A3:R3"/>
    <mergeCell ref="A4:D8"/>
    <mergeCell ref="A9:D9"/>
    <mergeCell ref="F4:I8"/>
    <mergeCell ref="F9:I9"/>
    <mergeCell ref="K4:N8"/>
    <mergeCell ref="K9:N9"/>
    <mergeCell ref="A63:S63"/>
    <mergeCell ref="A29:S29"/>
    <mergeCell ref="A30:S59"/>
    <mergeCell ref="P4:R8"/>
    <mergeCell ref="P9:R9"/>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A5731-E837-4A23-8047-FF2811588673}">
  <sheetPr>
    <tabColor rgb="FFD64545"/>
  </sheetPr>
  <dimension ref="A1:I15"/>
  <sheetViews>
    <sheetView topLeftCell="E1" workbookViewId="0">
      <selection activeCell="G7" sqref="G7"/>
    </sheetView>
  </sheetViews>
  <sheetFormatPr defaultRowHeight="14.4" x14ac:dyDescent="0.3"/>
  <cols>
    <col min="1" max="1" width="12.21875" customWidth="1"/>
    <col min="2" max="2" width="12.6640625" customWidth="1"/>
    <col min="3" max="3" width="41" customWidth="1"/>
    <col min="4" max="4" width="100" customWidth="1"/>
    <col min="5" max="5" width="109.88671875" customWidth="1"/>
    <col min="6" max="6" width="59.21875" customWidth="1"/>
    <col min="7" max="7" width="99.77734375" customWidth="1"/>
    <col min="8" max="8" width="20.6640625" customWidth="1"/>
    <col min="9" max="9" width="15.33203125" customWidth="1"/>
  </cols>
  <sheetData>
    <row r="1" spans="1:9" x14ac:dyDescent="0.3">
      <c r="A1" t="s">
        <v>188</v>
      </c>
    </row>
    <row r="2" spans="1:9" ht="15" thickBot="1" x14ac:dyDescent="0.35">
      <c r="A2" s="2"/>
      <c r="B2" s="2"/>
      <c r="C2" s="2"/>
      <c r="D2" s="2"/>
      <c r="E2" s="2"/>
      <c r="F2" s="2"/>
      <c r="G2" s="2"/>
      <c r="H2" s="2"/>
    </row>
    <row r="3" spans="1:9" s="64" customFormat="1" ht="15" thickBot="1" x14ac:dyDescent="0.35">
      <c r="A3" s="76" t="s">
        <v>180</v>
      </c>
      <c r="B3" s="77" t="s">
        <v>181</v>
      </c>
      <c r="C3" s="77" t="s">
        <v>182</v>
      </c>
      <c r="D3" s="77" t="s">
        <v>183</v>
      </c>
      <c r="E3" s="77" t="s">
        <v>184</v>
      </c>
      <c r="F3" s="77" t="s">
        <v>185</v>
      </c>
      <c r="G3" s="77" t="s">
        <v>186</v>
      </c>
      <c r="H3" s="78" t="s">
        <v>187</v>
      </c>
      <c r="I3" s="79"/>
    </row>
    <row r="4" spans="1:9" ht="43.8" thickBot="1" x14ac:dyDescent="0.35">
      <c r="A4" s="31" t="s">
        <v>189</v>
      </c>
      <c r="B4" s="32">
        <v>45775</v>
      </c>
      <c r="C4" s="12" t="s">
        <v>190</v>
      </c>
      <c r="D4" s="12" t="s">
        <v>191</v>
      </c>
      <c r="E4" s="12" t="s">
        <v>192</v>
      </c>
      <c r="F4" s="16">
        <v>6</v>
      </c>
      <c r="G4" s="21" t="s">
        <v>204</v>
      </c>
      <c r="H4" s="37" t="s">
        <v>193</v>
      </c>
      <c r="I4" s="5"/>
    </row>
    <row r="5" spans="1:9" ht="29.4" thickBot="1" x14ac:dyDescent="0.35">
      <c r="A5" s="31" t="s">
        <v>194</v>
      </c>
      <c r="B5" s="32">
        <v>45775</v>
      </c>
      <c r="C5" s="12" t="s">
        <v>195</v>
      </c>
      <c r="D5" s="12" t="s">
        <v>196</v>
      </c>
      <c r="E5" s="12" t="s">
        <v>197</v>
      </c>
      <c r="F5" s="12" t="s">
        <v>198</v>
      </c>
      <c r="G5" s="21" t="s">
        <v>203</v>
      </c>
      <c r="H5" s="37" t="s">
        <v>193</v>
      </c>
      <c r="I5" s="5"/>
    </row>
    <row r="6" spans="1:9" ht="29.4" thickBot="1" x14ac:dyDescent="0.35">
      <c r="A6" s="31" t="s">
        <v>199</v>
      </c>
      <c r="B6" s="32">
        <v>45775</v>
      </c>
      <c r="C6" s="12" t="s">
        <v>200</v>
      </c>
      <c r="D6" s="15" t="s">
        <v>201</v>
      </c>
      <c r="E6" s="15" t="s">
        <v>202</v>
      </c>
      <c r="F6" s="12">
        <v>1</v>
      </c>
      <c r="G6" s="21" t="s">
        <v>205</v>
      </c>
      <c r="H6" s="37" t="s">
        <v>193</v>
      </c>
      <c r="I6" s="5"/>
    </row>
    <row r="7" spans="1:9" ht="144.6" thickBot="1" x14ac:dyDescent="0.35">
      <c r="A7" s="31" t="s">
        <v>206</v>
      </c>
      <c r="B7" s="32">
        <v>45775</v>
      </c>
      <c r="C7" s="12" t="s">
        <v>200</v>
      </c>
      <c r="D7" s="12" t="s">
        <v>208</v>
      </c>
      <c r="E7" s="15" t="s">
        <v>207</v>
      </c>
      <c r="F7" s="12">
        <v>4</v>
      </c>
      <c r="G7" s="21" t="s">
        <v>283</v>
      </c>
      <c r="H7" s="37" t="s">
        <v>193</v>
      </c>
      <c r="I7" s="5"/>
    </row>
    <row r="8" spans="1:9" ht="43.8" thickBot="1" x14ac:dyDescent="0.35">
      <c r="A8" s="31" t="s">
        <v>212</v>
      </c>
      <c r="B8" s="32">
        <v>45775</v>
      </c>
      <c r="C8" s="12" t="s">
        <v>213</v>
      </c>
      <c r="D8" s="15" t="s">
        <v>214</v>
      </c>
      <c r="E8" s="15" t="s">
        <v>215</v>
      </c>
      <c r="F8" s="12">
        <v>3</v>
      </c>
      <c r="G8" s="21" t="s">
        <v>216</v>
      </c>
      <c r="H8" s="38" t="s">
        <v>217</v>
      </c>
      <c r="I8" s="29" t="s">
        <v>218</v>
      </c>
    </row>
    <row r="9" spans="1:9" ht="28.8" x14ac:dyDescent="0.3">
      <c r="A9" s="33" t="s">
        <v>219</v>
      </c>
      <c r="B9" s="34">
        <v>45775</v>
      </c>
      <c r="C9" s="17" t="s">
        <v>220</v>
      </c>
      <c r="D9" s="18" t="s">
        <v>221</v>
      </c>
      <c r="E9" s="18" t="s">
        <v>222</v>
      </c>
      <c r="F9" s="17">
        <v>4</v>
      </c>
      <c r="G9" s="22" t="s">
        <v>227</v>
      </c>
      <c r="H9" s="39" t="s">
        <v>217</v>
      </c>
      <c r="I9" s="5"/>
    </row>
    <row r="10" spans="1:9" ht="57.6" x14ac:dyDescent="0.3">
      <c r="A10" s="31" t="s">
        <v>223</v>
      </c>
      <c r="B10" s="32">
        <v>45775</v>
      </c>
      <c r="C10" s="14" t="s">
        <v>230</v>
      </c>
      <c r="D10" s="13" t="s">
        <v>231</v>
      </c>
      <c r="E10" s="13" t="s">
        <v>276</v>
      </c>
      <c r="F10" s="12">
        <v>4</v>
      </c>
      <c r="G10" s="23" t="s">
        <v>274</v>
      </c>
      <c r="H10" s="40" t="s">
        <v>217</v>
      </c>
      <c r="I10" s="30" t="s">
        <v>232</v>
      </c>
    </row>
    <row r="11" spans="1:9" ht="28.8" x14ac:dyDescent="0.3">
      <c r="A11" s="31" t="s">
        <v>224</v>
      </c>
      <c r="B11" s="32">
        <v>45775</v>
      </c>
      <c r="C11" s="14" t="s">
        <v>233</v>
      </c>
      <c r="D11" s="13" t="s">
        <v>234</v>
      </c>
      <c r="E11" s="20" t="s">
        <v>235</v>
      </c>
      <c r="F11" s="12" t="s">
        <v>236</v>
      </c>
      <c r="G11" s="20" t="s">
        <v>237</v>
      </c>
      <c r="H11" s="41" t="s">
        <v>193</v>
      </c>
      <c r="I11" s="5"/>
    </row>
    <row r="12" spans="1:9" ht="28.8" x14ac:dyDescent="0.3">
      <c r="A12" s="31" t="s">
        <v>225</v>
      </c>
      <c r="B12" s="32">
        <v>45775</v>
      </c>
      <c r="C12" s="14" t="s">
        <v>238</v>
      </c>
      <c r="D12" s="24" t="s">
        <v>239</v>
      </c>
      <c r="E12" s="13" t="s">
        <v>240</v>
      </c>
      <c r="F12" s="12" t="s">
        <v>236</v>
      </c>
      <c r="G12" s="20" t="s">
        <v>241</v>
      </c>
      <c r="H12" s="41" t="s">
        <v>193</v>
      </c>
      <c r="I12" s="5"/>
    </row>
    <row r="13" spans="1:9" ht="43.8" thickBot="1" x14ac:dyDescent="0.35">
      <c r="A13" s="35" t="s">
        <v>226</v>
      </c>
      <c r="B13" s="36">
        <v>45775</v>
      </c>
      <c r="C13" s="25" t="s">
        <v>281</v>
      </c>
      <c r="D13" s="26" t="s">
        <v>277</v>
      </c>
      <c r="E13" s="26" t="s">
        <v>278</v>
      </c>
      <c r="F13" s="25" t="s">
        <v>279</v>
      </c>
      <c r="G13" s="27" t="s">
        <v>275</v>
      </c>
      <c r="H13" s="42" t="s">
        <v>228</v>
      </c>
      <c r="I13" s="28"/>
    </row>
    <row r="14" spans="1:9" x14ac:dyDescent="0.3">
      <c r="A14" s="2"/>
      <c r="B14" s="2"/>
      <c r="C14" s="2"/>
      <c r="D14" s="2"/>
      <c r="E14" s="2"/>
      <c r="F14" s="2"/>
      <c r="G14" s="19"/>
      <c r="H14" s="2"/>
    </row>
    <row r="15" spans="1:9" x14ac:dyDescent="0.3">
      <c r="A15" s="2"/>
      <c r="B15" s="2"/>
      <c r="C15" s="2"/>
      <c r="D15" s="2"/>
      <c r="E15" s="2"/>
      <c r="F15" s="2"/>
      <c r="G15" s="19"/>
      <c r="H15" s="2"/>
    </row>
  </sheetData>
  <phoneticPr fontId="19" type="noConversion"/>
  <dataValidations count="1">
    <dataValidation type="list" allowBlank="1" showInputMessage="1" showErrorMessage="1" sqref="H4:H12" xr:uid="{FAA853BF-085B-489D-9278-CB197E6A0DFC}">
      <formula1>"Done,Flagged,Need Review"</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5C44A-C0E0-4B8A-87EA-CAF2E43D10B2}">
  <dimension ref="A2:F7"/>
  <sheetViews>
    <sheetView workbookViewId="0">
      <selection activeCell="F8" sqref="F8"/>
    </sheetView>
  </sheetViews>
  <sheetFormatPr defaultRowHeight="14.4" x14ac:dyDescent="0.3"/>
  <cols>
    <col min="1" max="1" width="17.77734375" customWidth="1"/>
    <col min="2" max="2" width="16.44140625" customWidth="1"/>
    <col min="5" max="5" width="19.33203125" customWidth="1"/>
    <col min="6" max="6" width="19.44140625" customWidth="1"/>
  </cols>
  <sheetData>
    <row r="2" spans="1:6" x14ac:dyDescent="0.3">
      <c r="A2" s="89" t="s">
        <v>258</v>
      </c>
      <c r="B2" s="89" t="s">
        <v>271</v>
      </c>
      <c r="E2" s="89" t="s">
        <v>2</v>
      </c>
      <c r="F2" s="89" t="s">
        <v>272</v>
      </c>
    </row>
    <row r="3" spans="1:6" x14ac:dyDescent="0.3">
      <c r="A3" s="89" t="s">
        <v>266</v>
      </c>
      <c r="B3" s="90">
        <f>SUMIF(ANALYSIS!I4:I78,"🟢 Active (0-30 Days)",ANALYSIS!J4:J78)</f>
        <v>16593201.630000001</v>
      </c>
      <c r="E3" s="89" t="s">
        <v>17</v>
      </c>
      <c r="F3" s="93">
        <f>SUMIFS(ANALYSIS!J4:J78,ANALYSIS!C4:C78,"Home &amp; Kitchen",ANALYSIS!I4:I78,"🔴 Dead (90+ Days)")</f>
        <v>34149865.399999999</v>
      </c>
    </row>
    <row r="4" spans="1:6" x14ac:dyDescent="0.3">
      <c r="A4" s="91" t="s">
        <v>267</v>
      </c>
      <c r="B4" s="90">
        <f>SUMIF(ANALYSIS!I4:I78,"🟠 Slow (31-60 Days)",ANALYSIS!J4:J78)</f>
        <v>60001396.790000007</v>
      </c>
      <c r="E4" s="89" t="s">
        <v>35</v>
      </c>
      <c r="F4" s="93">
        <f>SUMIFS(ANALYSIS!J4:J78,ANALYSIS!C4:C78,"Clothing",ANALYSIS!I4:I78,"🔴 Dead (90+ Days)")+SUMIFS(ANALYSIS!J4:J78,ANALYSIS!C4:C78,"Clothing",ANALYSIS!I4:I78,"🔴 Dead - No Sale")</f>
        <v>23450113.93</v>
      </c>
    </row>
    <row r="5" spans="1:6" x14ac:dyDescent="0.3">
      <c r="A5" s="91" t="s">
        <v>268</v>
      </c>
      <c r="B5" s="90">
        <f>SUMIF(ANALYSIS!I4:I78,"🟡 At Risk (61-90 Days)",ANALYSIS!J4:J78)</f>
        <v>37183522.409999996</v>
      </c>
      <c r="E5" s="89" t="s">
        <v>31</v>
      </c>
      <c r="F5" s="90">
        <f>SUMIFS(ANALYSIS!J4:J78,ANALYSIS!C4:C78,"Sports &amp; Outdoor",ANALYSIS!I4:I78,"🔴 Dead (90+ Days)")</f>
        <v>18155193.07</v>
      </c>
    </row>
    <row r="6" spans="1:6" x14ac:dyDescent="0.3">
      <c r="A6" s="91" t="s">
        <v>269</v>
      </c>
      <c r="B6" s="90">
        <f>SUMIF(ANALYSIS!I4:I78,"🔴 Dead (90+ Days)",ANALYSIS!J4:J78)</f>
        <v>79522384.519999996</v>
      </c>
      <c r="E6" s="89" t="s">
        <v>42</v>
      </c>
      <c r="F6" s="93">
        <f>SUMIFS(ANALYSIS!J4:J78,ANALYSIS!C4:C78,"Electronics",ANALYSIS!I4:I78,"🔴 Dead (90+ Days)")+SUMIFS(ANALYSIS!J4:J78,ANALYSIS!C4:C78,"Electronics",ANALYSIS!I4:I78,"🔴 Dead - No Sale")</f>
        <v>11047251.649999999</v>
      </c>
    </row>
    <row r="7" spans="1:6" x14ac:dyDescent="0.3">
      <c r="A7" s="89" t="s">
        <v>270</v>
      </c>
      <c r="B7" s="90">
        <f>SUMIF(ANALYSIS!I4:I78,"🔴 Dead - No Sale",ANALYSIS!J4:J78)</f>
        <v>12151599.65</v>
      </c>
      <c r="E7" s="89" t="s">
        <v>22</v>
      </c>
      <c r="F7" s="90">
        <f>SUMIFS(ANALYSIS!J4:J78,ANALYSIS!C4:C78,"Health &amp; Beauty",ANALYSIS!I4:I78,"🔴 Dead (90+ Days)")+SUMIFS(ANALYSIS!J4:J78,ANALYSIS!C4:C78,"Health &amp; Beauty",ANALYSIS!I4:I78,"🔴 Dead - No Sale")</f>
        <v>4871560.12</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DeadStockInventory</vt:lpstr>
      <vt:lpstr>RAW_DATA</vt:lpstr>
      <vt:lpstr>CLEANED</vt:lpstr>
      <vt:lpstr>ANALYSIS</vt:lpstr>
      <vt:lpstr>PT1_Category</vt:lpstr>
      <vt:lpstr>PT2_AgingBucket</vt:lpstr>
      <vt:lpstr> PT3_TopDeadStock</vt:lpstr>
      <vt:lpstr>DASHBOARD</vt:lpstr>
      <vt:lpstr>CLEANING_LOG</vt:lpstr>
      <vt:lpstr>CHART_DATA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Sundas Memon</dc:creator>
  <cp:lastModifiedBy>Sundas Memon</cp:lastModifiedBy>
  <cp:lastPrinted>2026-06-01T07:16:26Z</cp:lastPrinted>
  <dcterms:created xsi:type="dcterms:W3CDTF">2026-04-28T09:08:09Z</dcterms:created>
  <dcterms:modified xsi:type="dcterms:W3CDTF">2026-06-01T08:14:40Z</dcterms:modified>
</cp:coreProperties>
</file>